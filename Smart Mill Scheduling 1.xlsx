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TCE- noida 21.10.25\Project- Mill Scheduling\"/>
    </mc:Choice>
  </mc:AlternateContent>
  <xr:revisionPtr revIDLastSave="0" documentId="13_ncr:1_{428B1CD0-DC8F-454F-9B08-39A88314A9BA}" xr6:coauthVersionLast="47" xr6:coauthVersionMax="47" xr10:uidLastSave="{00000000-0000-0000-0000-000000000000}"/>
  <bookViews>
    <workbookView xWindow="23929" yWindow="-113" windowWidth="24267" windowHeight="13023" activeTab="3" xr2:uid="{00000000-000D-0000-FFFF-FFFF00000000}"/>
  </bookViews>
  <sheets>
    <sheet name="Work Flow" sheetId="1" r:id="rId1"/>
    <sheet name="INPUT SHEET" sheetId="2" r:id="rId2"/>
    <sheet name="AHI Decision Tree" sheetId="4" r:id="rId3"/>
    <sheet name="Mill Merit Order" sheetId="3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2" i="3" l="1"/>
  <c r="D82" i="3" s="1" a="1"/>
  <c r="D82" i="3" s="1"/>
  <c r="J61" i="3"/>
  <c r="R61" i="3"/>
  <c r="E8" i="2"/>
  <c r="D70" i="3" s="1"/>
  <c r="I81" i="3"/>
  <c r="H82" i="3"/>
  <c r="H83" i="3"/>
  <c r="H84" i="3"/>
  <c r="H85" i="3"/>
  <c r="H86" i="3"/>
  <c r="H81" i="3"/>
  <c r="G86" i="3"/>
  <c r="G85" i="3"/>
  <c r="G84" i="3"/>
  <c r="G83" i="3"/>
  <c r="G82" i="3"/>
  <c r="G81" i="3"/>
  <c r="F86" i="3"/>
  <c r="F85" i="3"/>
  <c r="F84" i="3"/>
  <c r="F83" i="3" a="1"/>
  <c r="F83" i="3" s="1"/>
  <c r="F81" i="3" a="1"/>
  <c r="F81" i="3" s="1"/>
  <c r="F82" i="3" a="1"/>
  <c r="F82" i="3"/>
  <c r="D66" i="3"/>
  <c r="E66" i="3" s="1"/>
  <c r="Q31" i="2"/>
  <c r="L32" i="2"/>
  <c r="I85" i="3"/>
  <c r="I86" i="3"/>
  <c r="I84" i="3"/>
  <c r="I82" i="3"/>
  <c r="I83" i="3"/>
  <c r="E67" i="3"/>
  <c r="E68" i="3"/>
  <c r="E69" i="3"/>
  <c r="D67" i="3"/>
  <c r="D68" i="3"/>
  <c r="D69" i="3"/>
  <c r="C69" i="3"/>
  <c r="C68" i="3"/>
  <c r="C67" i="3"/>
  <c r="C66" i="3"/>
  <c r="D20" i="3"/>
  <c r="E20" i="3" s="1"/>
  <c r="F19" i="3" s="1"/>
  <c r="J86" i="3" s="1"/>
  <c r="D21" i="3"/>
  <c r="E21" i="3" s="1"/>
  <c r="D22" i="3"/>
  <c r="E22" i="3" s="1"/>
  <c r="F23" i="3" s="1"/>
  <c r="J82" i="3" s="1"/>
  <c r="D23" i="3"/>
  <c r="E23" i="3" s="1"/>
  <c r="F24" i="3" s="1"/>
  <c r="J81" i="3" s="1"/>
  <c r="D24" i="3"/>
  <c r="E24" i="3" s="1"/>
  <c r="D19" i="3"/>
  <c r="E19" i="3" s="1"/>
  <c r="E16" i="2"/>
  <c r="C81" i="3" l="1"/>
  <c r="D81" i="3" s="1" a="1"/>
  <c r="D81" i="3" s="1"/>
  <c r="C83" i="3"/>
  <c r="D83" i="3" s="1" a="1"/>
  <c r="D83" i="3" s="1"/>
  <c r="C84" i="3"/>
  <c r="C85" i="3"/>
  <c r="D85" i="3" s="1" a="1"/>
  <c r="D85" i="3" s="1"/>
  <c r="F22" i="3"/>
  <c r="J83" i="3" s="1"/>
  <c r="F20" i="3"/>
  <c r="J85" i="3" s="1"/>
  <c r="F21" i="3"/>
  <c r="J84" i="3" s="1"/>
  <c r="Y59" i="3"/>
  <c r="Y58" i="3"/>
  <c r="Y57" i="3"/>
  <c r="Y56" i="3"/>
  <c r="Y55" i="3"/>
  <c r="Y54" i="3"/>
  <c r="Y53" i="3"/>
  <c r="Y52" i="3"/>
  <c r="Y51" i="3"/>
  <c r="Y50" i="3"/>
  <c r="Y49" i="3"/>
  <c r="Y48" i="3"/>
  <c r="Y47" i="3"/>
  <c r="Y46" i="3"/>
  <c r="Y45" i="3"/>
  <c r="Z45" i="3" s="1"/>
  <c r="U59" i="3"/>
  <c r="U58" i="3"/>
  <c r="U57" i="3"/>
  <c r="U56" i="3"/>
  <c r="U55" i="3"/>
  <c r="U54" i="3"/>
  <c r="U53" i="3"/>
  <c r="U52" i="3"/>
  <c r="U51" i="3"/>
  <c r="U50" i="3"/>
  <c r="U49" i="3"/>
  <c r="U48" i="3"/>
  <c r="U47" i="3"/>
  <c r="U46" i="3"/>
  <c r="U45" i="3"/>
  <c r="Q59" i="3"/>
  <c r="Q58" i="3"/>
  <c r="Q57" i="3"/>
  <c r="Q56" i="3"/>
  <c r="Q55" i="3"/>
  <c r="Q54" i="3"/>
  <c r="Q53" i="3"/>
  <c r="Q52" i="3"/>
  <c r="Q51" i="3"/>
  <c r="Q50" i="3"/>
  <c r="Q49" i="3"/>
  <c r="Q48" i="3"/>
  <c r="Q47" i="3"/>
  <c r="Q46" i="3"/>
  <c r="Q45" i="3"/>
  <c r="M59" i="3"/>
  <c r="M58" i="3"/>
  <c r="M57" i="3"/>
  <c r="M56" i="3"/>
  <c r="M55" i="3"/>
  <c r="M54" i="3"/>
  <c r="N54" i="3" s="1"/>
  <c r="M53" i="3"/>
  <c r="M52" i="3"/>
  <c r="N52" i="3" s="1"/>
  <c r="M51" i="3"/>
  <c r="M50" i="3"/>
  <c r="M49" i="3"/>
  <c r="M48" i="3"/>
  <c r="M47" i="3"/>
  <c r="M46" i="3"/>
  <c r="M45" i="3"/>
  <c r="I59" i="3"/>
  <c r="I58" i="3"/>
  <c r="I57" i="3"/>
  <c r="I56" i="3"/>
  <c r="J56" i="3" s="1"/>
  <c r="I55" i="3"/>
  <c r="I54" i="3"/>
  <c r="I53" i="3"/>
  <c r="I52" i="3"/>
  <c r="I51" i="3"/>
  <c r="I50" i="3"/>
  <c r="I49" i="3"/>
  <c r="I48" i="3"/>
  <c r="J48" i="3" s="1"/>
  <c r="I47" i="3"/>
  <c r="I46" i="3"/>
  <c r="I45" i="3"/>
  <c r="E46" i="3"/>
  <c r="E47" i="3"/>
  <c r="E48" i="3"/>
  <c r="E49" i="3"/>
  <c r="E50" i="3"/>
  <c r="E51" i="3"/>
  <c r="E52" i="3"/>
  <c r="E53" i="3"/>
  <c r="E54" i="3"/>
  <c r="F54" i="3" s="1"/>
  <c r="E55" i="3"/>
  <c r="E56" i="3"/>
  <c r="F56" i="3" s="1"/>
  <c r="E57" i="3"/>
  <c r="F57" i="3" s="1"/>
  <c r="E58" i="3"/>
  <c r="E59" i="3"/>
  <c r="E45" i="3"/>
  <c r="W46" i="3"/>
  <c r="W47" i="3"/>
  <c r="W52" i="3"/>
  <c r="W54" i="3"/>
  <c r="W55" i="3"/>
  <c r="W56" i="3"/>
  <c r="W57" i="3"/>
  <c r="W59" i="3"/>
  <c r="S46" i="3"/>
  <c r="S47" i="3"/>
  <c r="S48" i="3"/>
  <c r="S50" i="3"/>
  <c r="S52" i="3"/>
  <c r="S54" i="3"/>
  <c r="S55" i="3"/>
  <c r="S56" i="3"/>
  <c r="S57" i="3"/>
  <c r="O46" i="3"/>
  <c r="O47" i="3"/>
  <c r="O48" i="3"/>
  <c r="O50" i="3"/>
  <c r="O52" i="3"/>
  <c r="O54" i="3"/>
  <c r="O55" i="3"/>
  <c r="O56" i="3"/>
  <c r="O57" i="3"/>
  <c r="O59" i="3"/>
  <c r="K46" i="3"/>
  <c r="K47" i="3"/>
  <c r="K48" i="3"/>
  <c r="N48" i="3" s="1"/>
  <c r="K50" i="3"/>
  <c r="K52" i="3"/>
  <c r="K54" i="3"/>
  <c r="K55" i="3"/>
  <c r="K56" i="3"/>
  <c r="K57" i="3"/>
  <c r="K59" i="3"/>
  <c r="G46" i="3"/>
  <c r="G47" i="3"/>
  <c r="G48" i="3"/>
  <c r="G50" i="3"/>
  <c r="G52" i="3"/>
  <c r="G53" i="3"/>
  <c r="G54" i="3"/>
  <c r="G55" i="3"/>
  <c r="G56" i="3"/>
  <c r="G57" i="3"/>
  <c r="W45" i="3"/>
  <c r="K45" i="3"/>
  <c r="C46" i="3"/>
  <c r="C47" i="3"/>
  <c r="C48" i="3"/>
  <c r="F48" i="3" s="1"/>
  <c r="C50" i="3"/>
  <c r="F50" i="3" s="1"/>
  <c r="C52" i="3"/>
  <c r="C54" i="3"/>
  <c r="C55" i="3"/>
  <c r="C56" i="3"/>
  <c r="C57" i="3"/>
  <c r="C45" i="3"/>
  <c r="U32" i="2"/>
  <c r="V32" i="2"/>
  <c r="X32" i="2"/>
  <c r="S32" i="2"/>
  <c r="C59" i="3" s="1"/>
  <c r="M32" i="2"/>
  <c r="T32" i="2" s="1"/>
  <c r="G59" i="3" s="1"/>
  <c r="N32" i="2"/>
  <c r="O32" i="2"/>
  <c r="P32" i="2"/>
  <c r="W32" i="2" s="1"/>
  <c r="S59" i="3" s="1"/>
  <c r="Q32" i="2"/>
  <c r="J32" i="2"/>
  <c r="K32" i="2" s="1"/>
  <c r="W36" i="3"/>
  <c r="T11" i="2"/>
  <c r="G36" i="3" s="1"/>
  <c r="V11" i="2"/>
  <c r="O36" i="3" s="1"/>
  <c r="X11" i="2"/>
  <c r="K11" i="2"/>
  <c r="J31" i="2"/>
  <c r="K31" i="2" s="1"/>
  <c r="L11" i="2"/>
  <c r="L31" i="2" s="1"/>
  <c r="M11" i="2"/>
  <c r="M31" i="2" s="1"/>
  <c r="N11" i="2"/>
  <c r="N31" i="2" s="1"/>
  <c r="O11" i="2"/>
  <c r="O31" i="2" s="1"/>
  <c r="P11" i="2"/>
  <c r="P31" i="2" s="1"/>
  <c r="Q11" i="2"/>
  <c r="J11" i="2"/>
  <c r="U11" i="2" l="1"/>
  <c r="K36" i="3" s="1"/>
  <c r="W11" i="2"/>
  <c r="S36" i="3" s="1"/>
  <c r="S11" i="2"/>
  <c r="C36" i="3" s="1"/>
  <c r="F46" i="3"/>
  <c r="V54" i="3"/>
  <c r="J59" i="3"/>
  <c r="F52" i="3"/>
  <c r="J47" i="3"/>
  <c r="Z55" i="3"/>
  <c r="J57" i="3"/>
  <c r="J46" i="3"/>
  <c r="R50" i="3"/>
  <c r="N46" i="3"/>
  <c r="N47" i="3"/>
  <c r="N59" i="3"/>
  <c r="F55" i="3"/>
  <c r="R57" i="3"/>
  <c r="F45" i="3"/>
  <c r="V55" i="3"/>
  <c r="Z52" i="3"/>
  <c r="F59" i="3"/>
  <c r="F47" i="3"/>
  <c r="V56" i="3"/>
  <c r="R48" i="3"/>
  <c r="V57" i="3"/>
  <c r="Z54" i="3"/>
  <c r="J50" i="3"/>
  <c r="N56" i="3"/>
  <c r="R52" i="3"/>
  <c r="Z46" i="3"/>
  <c r="Z56" i="3"/>
  <c r="J52" i="3"/>
  <c r="N57" i="3"/>
  <c r="V50" i="3"/>
  <c r="Z47" i="3"/>
  <c r="Z57" i="3"/>
  <c r="R46" i="3"/>
  <c r="R47" i="3"/>
  <c r="R59" i="3"/>
  <c r="N45" i="3"/>
  <c r="V47" i="3"/>
  <c r="V48" i="3"/>
  <c r="J53" i="3"/>
  <c r="R54" i="3"/>
  <c r="J54" i="3"/>
  <c r="R55" i="3"/>
  <c r="V52" i="3"/>
  <c r="Z59" i="3"/>
  <c r="V46" i="3"/>
  <c r="V59" i="3"/>
  <c r="N55" i="3"/>
  <c r="J55" i="3"/>
  <c r="N50" i="3"/>
  <c r="R56" i="3"/>
  <c r="S31" i="2"/>
  <c r="C58" i="3" s="1"/>
  <c r="F58" i="3" s="1"/>
  <c r="T31" i="2"/>
  <c r="G58" i="3" s="1"/>
  <c r="J58" i="3" s="1"/>
  <c r="U31" i="2"/>
  <c r="K58" i="3" s="1"/>
  <c r="N58" i="3" s="1"/>
  <c r="V31" i="2"/>
  <c r="O58" i="3" s="1"/>
  <c r="R58" i="3" s="1"/>
  <c r="W31" i="2"/>
  <c r="S58" i="3" s="1"/>
  <c r="V58" i="3" s="1"/>
  <c r="X31" i="2"/>
  <c r="W58" i="3" s="1"/>
  <c r="Z58" i="3" s="1"/>
  <c r="K19" i="2" l="1"/>
  <c r="S19" i="2" s="1"/>
  <c r="T15" i="2"/>
  <c r="G41" i="3" s="1"/>
  <c r="U15" i="2"/>
  <c r="K41" i="3" s="1"/>
  <c r="V15" i="2"/>
  <c r="O41" i="3" s="1"/>
  <c r="W15" i="2"/>
  <c r="S41" i="3" s="1"/>
  <c r="X15" i="2"/>
  <c r="W41" i="3" s="1"/>
  <c r="S15" i="2"/>
  <c r="C41" i="3" s="1"/>
  <c r="X30" i="2"/>
  <c r="W30" i="2"/>
  <c r="V30" i="2"/>
  <c r="U30" i="2"/>
  <c r="T30" i="2"/>
  <c r="S30" i="2"/>
  <c r="X29" i="2"/>
  <c r="W29" i="2"/>
  <c r="V29" i="2"/>
  <c r="U29" i="2"/>
  <c r="T29" i="2"/>
  <c r="S29" i="2"/>
  <c r="X28" i="2"/>
  <c r="W28" i="2"/>
  <c r="V28" i="2"/>
  <c r="U28" i="2"/>
  <c r="T28" i="2"/>
  <c r="S28" i="2"/>
  <c r="T25" i="2"/>
  <c r="U25" i="2"/>
  <c r="V25" i="2"/>
  <c r="W25" i="2"/>
  <c r="X25" i="2"/>
  <c r="S25" i="2"/>
  <c r="Y42" i="3"/>
  <c r="Y41" i="3"/>
  <c r="Y40" i="3"/>
  <c r="Y39" i="3"/>
  <c r="U42" i="3"/>
  <c r="U41" i="3"/>
  <c r="U40" i="3"/>
  <c r="U39" i="3"/>
  <c r="Q42" i="3"/>
  <c r="Q41" i="3"/>
  <c r="Q40" i="3"/>
  <c r="Q39" i="3"/>
  <c r="M42" i="3"/>
  <c r="M41" i="3"/>
  <c r="M40" i="3"/>
  <c r="M39" i="3"/>
  <c r="I42" i="3"/>
  <c r="I41" i="3"/>
  <c r="I40" i="3"/>
  <c r="I39" i="3"/>
  <c r="E40" i="3"/>
  <c r="E41" i="3"/>
  <c r="E42" i="3"/>
  <c r="E39" i="3"/>
  <c r="Y36" i="3"/>
  <c r="Y35" i="3"/>
  <c r="Y34" i="3"/>
  <c r="Y33" i="3"/>
  <c r="Y32" i="3"/>
  <c r="Y31" i="3"/>
  <c r="Y30" i="3"/>
  <c r="U36" i="3"/>
  <c r="V36" i="3" s="1"/>
  <c r="U35" i="3"/>
  <c r="U34" i="3"/>
  <c r="U33" i="3"/>
  <c r="U32" i="3"/>
  <c r="U31" i="3"/>
  <c r="U30" i="3"/>
  <c r="Q36" i="3"/>
  <c r="Q35" i="3"/>
  <c r="Q34" i="3"/>
  <c r="Q33" i="3"/>
  <c r="Q32" i="3"/>
  <c r="Q31" i="3"/>
  <c r="Q30" i="3"/>
  <c r="M36" i="3"/>
  <c r="M35" i="3"/>
  <c r="M34" i="3"/>
  <c r="M33" i="3"/>
  <c r="M32" i="3"/>
  <c r="M31" i="3"/>
  <c r="M30" i="3"/>
  <c r="I36" i="3"/>
  <c r="I35" i="3"/>
  <c r="I34" i="3"/>
  <c r="I33" i="3"/>
  <c r="I32" i="3"/>
  <c r="I31" i="3"/>
  <c r="I30" i="3"/>
  <c r="E31" i="3"/>
  <c r="E32" i="3"/>
  <c r="E33" i="3"/>
  <c r="E34" i="3"/>
  <c r="E35" i="3"/>
  <c r="E36" i="3"/>
  <c r="F36" i="3" s="1"/>
  <c r="E30" i="3"/>
  <c r="D7" i="3"/>
  <c r="D9" i="3"/>
  <c r="D10" i="3"/>
  <c r="D11" i="3"/>
  <c r="D12" i="3"/>
  <c r="D6" i="3"/>
  <c r="D3" i="3"/>
  <c r="D4" i="3"/>
  <c r="D5" i="3"/>
  <c r="D2" i="3"/>
  <c r="W19" i="2" l="1"/>
  <c r="T19" i="2"/>
  <c r="V19" i="2"/>
  <c r="U19" i="2"/>
  <c r="R36" i="3"/>
  <c r="X19" i="2"/>
  <c r="Z36" i="3"/>
  <c r="N36" i="3"/>
  <c r="N41" i="3"/>
  <c r="F41" i="3"/>
  <c r="J36" i="3"/>
  <c r="J41" i="3"/>
  <c r="V41" i="3"/>
  <c r="Z41" i="3"/>
  <c r="R41" i="3"/>
  <c r="K30" i="2" l="1"/>
  <c r="K29" i="2"/>
  <c r="K28" i="2"/>
  <c r="K27" i="2"/>
  <c r="K26" i="2"/>
  <c r="K25" i="2"/>
  <c r="K24" i="2"/>
  <c r="K23" i="2"/>
  <c r="K21" i="2"/>
  <c r="K20" i="2"/>
  <c r="K18" i="2"/>
  <c r="J16" i="2"/>
  <c r="K16" i="2" s="1"/>
  <c r="K14" i="2"/>
  <c r="K13" i="2"/>
  <c r="K10" i="2"/>
  <c r="K9" i="2"/>
  <c r="K8" i="2"/>
  <c r="K5" i="2"/>
  <c r="K4" i="2"/>
  <c r="K6" i="2"/>
  <c r="K7" i="2"/>
  <c r="K3" i="2"/>
  <c r="D26" i="2"/>
  <c r="D8" i="2"/>
  <c r="C71" i="3" l="1"/>
  <c r="C72" i="3"/>
  <c r="C73" i="3" s="1"/>
  <c r="C70" i="3"/>
  <c r="D8" i="3"/>
  <c r="C14" i="3" s="1"/>
  <c r="E70" i="3"/>
  <c r="D72" i="3"/>
  <c r="D73" i="3" s="1"/>
  <c r="D71" i="3"/>
  <c r="T20" i="2"/>
  <c r="U20" i="2"/>
  <c r="S20" i="2"/>
  <c r="V20" i="2"/>
  <c r="W20" i="2"/>
  <c r="X20" i="2"/>
  <c r="T7" i="2"/>
  <c r="G32" i="3" s="1"/>
  <c r="J32" i="3" s="1"/>
  <c r="U7" i="2"/>
  <c r="K32" i="3" s="1"/>
  <c r="N32" i="3" s="1"/>
  <c r="S7" i="2"/>
  <c r="C32" i="3" s="1"/>
  <c r="F32" i="3" s="1"/>
  <c r="V7" i="2"/>
  <c r="O32" i="3" s="1"/>
  <c r="R32" i="3" s="1"/>
  <c r="W7" i="2"/>
  <c r="S32" i="3" s="1"/>
  <c r="V32" i="3" s="1"/>
  <c r="X7" i="2"/>
  <c r="W32" i="3" s="1"/>
  <c r="Z32" i="3" s="1"/>
  <c r="T21" i="2"/>
  <c r="V21" i="2"/>
  <c r="U21" i="2"/>
  <c r="X21" i="2"/>
  <c r="W48" i="3" s="1"/>
  <c r="Z48" i="3" s="1"/>
  <c r="S21" i="2"/>
  <c r="W21" i="2"/>
  <c r="S27" i="2"/>
  <c r="T27" i="2"/>
  <c r="U27" i="2"/>
  <c r="W27" i="2"/>
  <c r="V27" i="2"/>
  <c r="X27" i="2"/>
  <c r="X6" i="2"/>
  <c r="W31" i="3" s="1"/>
  <c r="Z31" i="3" s="1"/>
  <c r="W6" i="2"/>
  <c r="S31" i="3" s="1"/>
  <c r="V31" i="3" s="1"/>
  <c r="S6" i="2"/>
  <c r="C31" i="3" s="1"/>
  <c r="F31" i="3" s="1"/>
  <c r="V6" i="2"/>
  <c r="O31" i="3" s="1"/>
  <c r="R31" i="3" s="1"/>
  <c r="U6" i="2"/>
  <c r="K31" i="3" s="1"/>
  <c r="N31" i="3" s="1"/>
  <c r="T6" i="2"/>
  <c r="G31" i="3" s="1"/>
  <c r="J31" i="3" s="1"/>
  <c r="T22" i="2"/>
  <c r="G49" i="3" s="1"/>
  <c r="J49" i="3" s="1"/>
  <c r="U22" i="2"/>
  <c r="K49" i="3" s="1"/>
  <c r="N49" i="3" s="1"/>
  <c r="V22" i="2"/>
  <c r="O49" i="3" s="1"/>
  <c r="R49" i="3" s="1"/>
  <c r="W22" i="2"/>
  <c r="S49" i="3" s="1"/>
  <c r="V49" i="3" s="1"/>
  <c r="X22" i="2"/>
  <c r="W49" i="3" s="1"/>
  <c r="Z49" i="3" s="1"/>
  <c r="S22" i="2"/>
  <c r="C49" i="3" s="1"/>
  <c r="F49" i="3" s="1"/>
  <c r="W10" i="2"/>
  <c r="S35" i="3" s="1"/>
  <c r="V35" i="3" s="1"/>
  <c r="X10" i="2"/>
  <c r="W35" i="3" s="1"/>
  <c r="Z35" i="3" s="1"/>
  <c r="U10" i="2"/>
  <c r="K35" i="3" s="1"/>
  <c r="N35" i="3" s="1"/>
  <c r="V10" i="2"/>
  <c r="O35" i="3" s="1"/>
  <c r="R35" i="3" s="1"/>
  <c r="S10" i="2"/>
  <c r="C35" i="3" s="1"/>
  <c r="F35" i="3" s="1"/>
  <c r="T10" i="2"/>
  <c r="G35" i="3" s="1"/>
  <c r="J35" i="3" s="1"/>
  <c r="T13" i="2"/>
  <c r="G39" i="3" s="1"/>
  <c r="J39" i="3" s="1"/>
  <c r="S13" i="2"/>
  <c r="C39" i="3" s="1"/>
  <c r="F39" i="3" s="1"/>
  <c r="V13" i="2"/>
  <c r="O39" i="3" s="1"/>
  <c r="R39" i="3" s="1"/>
  <c r="X13" i="2"/>
  <c r="W39" i="3" s="1"/>
  <c r="Z39" i="3" s="1"/>
  <c r="U13" i="2"/>
  <c r="K39" i="3" s="1"/>
  <c r="N39" i="3" s="1"/>
  <c r="W13" i="2"/>
  <c r="S39" i="3" s="1"/>
  <c r="V39" i="3" s="1"/>
  <c r="W16" i="2"/>
  <c r="S42" i="3" s="1"/>
  <c r="V42" i="3" s="1"/>
  <c r="S16" i="2"/>
  <c r="C42" i="3" s="1"/>
  <c r="F42" i="3" s="1"/>
  <c r="X16" i="2"/>
  <c r="W42" i="3" s="1"/>
  <c r="Z42" i="3" s="1"/>
  <c r="T16" i="2"/>
  <c r="G42" i="3" s="1"/>
  <c r="J42" i="3" s="1"/>
  <c r="U16" i="2"/>
  <c r="K42" i="3" s="1"/>
  <c r="N42" i="3" s="1"/>
  <c r="V16" i="2"/>
  <c r="O42" i="3" s="1"/>
  <c r="R42" i="3" s="1"/>
  <c r="T23" i="2"/>
  <c r="U23" i="2"/>
  <c r="V23" i="2"/>
  <c r="W23" i="2"/>
  <c r="S23" i="2"/>
  <c r="X23" i="2"/>
  <c r="W50" i="3" s="1"/>
  <c r="Z50" i="3" s="1"/>
  <c r="X5" i="2"/>
  <c r="W30" i="3" s="1"/>
  <c r="Z30" i="3" s="1"/>
  <c r="S5" i="2"/>
  <c r="C30" i="3" s="1"/>
  <c r="F30" i="3" s="1"/>
  <c r="T5" i="2"/>
  <c r="G30" i="3" s="1"/>
  <c r="J30" i="3" s="1"/>
  <c r="V5" i="2"/>
  <c r="O30" i="3" s="1"/>
  <c r="R30" i="3" s="1"/>
  <c r="W5" i="2"/>
  <c r="S30" i="3" s="1"/>
  <c r="V30" i="3" s="1"/>
  <c r="U5" i="2"/>
  <c r="K30" i="3" s="1"/>
  <c r="N30" i="3" s="1"/>
  <c r="T24" i="2"/>
  <c r="G51" i="3" s="1"/>
  <c r="J51" i="3" s="1"/>
  <c r="U24" i="2"/>
  <c r="K51" i="3" s="1"/>
  <c r="N51" i="3" s="1"/>
  <c r="X24" i="2"/>
  <c r="W51" i="3" s="1"/>
  <c r="Z51" i="3" s="1"/>
  <c r="W24" i="2"/>
  <c r="S51" i="3" s="1"/>
  <c r="V51" i="3" s="1"/>
  <c r="V24" i="2"/>
  <c r="O51" i="3" s="1"/>
  <c r="R51" i="3" s="1"/>
  <c r="S24" i="2"/>
  <c r="C51" i="3" s="1"/>
  <c r="F51" i="3" s="1"/>
  <c r="T14" i="2"/>
  <c r="G40" i="3" s="1"/>
  <c r="J40" i="3" s="1"/>
  <c r="X14" i="2"/>
  <c r="W40" i="3" s="1"/>
  <c r="Z40" i="3" s="1"/>
  <c r="W14" i="2"/>
  <c r="S40" i="3" s="1"/>
  <c r="V40" i="3" s="1"/>
  <c r="V14" i="2"/>
  <c r="O40" i="3" s="1"/>
  <c r="R40" i="3" s="1"/>
  <c r="S14" i="2"/>
  <c r="C40" i="3" s="1"/>
  <c r="F40" i="3" s="1"/>
  <c r="U14" i="2"/>
  <c r="K40" i="3" s="1"/>
  <c r="N40" i="3" s="1"/>
  <c r="S18" i="2"/>
  <c r="V18" i="2"/>
  <c r="O45" i="3" s="1"/>
  <c r="R45" i="3" s="1"/>
  <c r="W18" i="2"/>
  <c r="S45" i="3" s="1"/>
  <c r="V45" i="3" s="1"/>
  <c r="T18" i="2"/>
  <c r="G45" i="3" s="1"/>
  <c r="J45" i="3" s="1"/>
  <c r="U18" i="2"/>
  <c r="X18" i="2"/>
  <c r="S8" i="2"/>
  <c r="C33" i="3" s="1"/>
  <c r="F33" i="3" s="1"/>
  <c r="T8" i="2"/>
  <c r="G33" i="3" s="1"/>
  <c r="J33" i="3" s="1"/>
  <c r="X8" i="2"/>
  <c r="W33" i="3" s="1"/>
  <c r="Z33" i="3" s="1"/>
  <c r="U8" i="2"/>
  <c r="K33" i="3" s="1"/>
  <c r="N33" i="3" s="1"/>
  <c r="V8" i="2"/>
  <c r="O33" i="3" s="1"/>
  <c r="R33" i="3" s="1"/>
  <c r="W8" i="2"/>
  <c r="S33" i="3" s="1"/>
  <c r="V33" i="3" s="1"/>
  <c r="S9" i="2"/>
  <c r="C34" i="3" s="1"/>
  <c r="F34" i="3" s="1"/>
  <c r="T9" i="2"/>
  <c r="G34" i="3" s="1"/>
  <c r="J34" i="3" s="1"/>
  <c r="U9" i="2"/>
  <c r="K34" i="3" s="1"/>
  <c r="N34" i="3" s="1"/>
  <c r="X9" i="2"/>
  <c r="W34" i="3" s="1"/>
  <c r="Z34" i="3" s="1"/>
  <c r="V9" i="2"/>
  <c r="O34" i="3" s="1"/>
  <c r="R34" i="3" s="1"/>
  <c r="W9" i="2"/>
  <c r="S34" i="3" s="1"/>
  <c r="V34" i="3" s="1"/>
  <c r="T26" i="2"/>
  <c r="U26" i="2"/>
  <c r="K53" i="3" s="1"/>
  <c r="N53" i="3" s="1"/>
  <c r="V26" i="2"/>
  <c r="O53" i="3" s="1"/>
  <c r="R53" i="3" s="1"/>
  <c r="W26" i="2"/>
  <c r="S53" i="3" s="1"/>
  <c r="V53" i="3" s="1"/>
  <c r="X26" i="2"/>
  <c r="W53" i="3" s="1"/>
  <c r="Z53" i="3" s="1"/>
  <c r="S26" i="2"/>
  <c r="C53" i="3" s="1"/>
  <c r="F53" i="3" s="1"/>
  <c r="K85" i="3" l="1"/>
  <c r="L85" i="3" s="1"/>
  <c r="K84" i="3"/>
  <c r="K83" i="3"/>
  <c r="L83" i="3" s="1"/>
  <c r="K82" i="3"/>
  <c r="L82" i="3" s="1"/>
  <c r="K81" i="3"/>
  <c r="L81" i="3" s="1"/>
  <c r="K86" i="3"/>
  <c r="Z60" i="3"/>
  <c r="N60" i="3"/>
  <c r="F60" i="3"/>
  <c r="J60" i="3"/>
  <c r="V60" i="3"/>
  <c r="R60" i="3"/>
  <c r="R43" i="3"/>
  <c r="N43" i="3"/>
  <c r="F43" i="3"/>
  <c r="V43" i="3"/>
  <c r="N37" i="3"/>
  <c r="V37" i="3"/>
  <c r="F37" i="3"/>
  <c r="R37" i="3"/>
  <c r="J37" i="3"/>
  <c r="Z43" i="3"/>
  <c r="J43" i="3"/>
  <c r="Z37" i="3"/>
  <c r="F61" i="3" l="1"/>
  <c r="C86" i="3" s="1"/>
  <c r="D86" i="3" s="1" a="1"/>
  <c r="D86" i="3" s="1"/>
  <c r="Z61" i="3"/>
  <c r="N61" i="3"/>
  <c r="V61" i="3"/>
  <c r="L86" i="3" l="1"/>
  <c r="D84" i="3" a="1"/>
  <c r="D84" i="3" s="1"/>
  <c r="E86" i="3"/>
  <c r="E85" i="3"/>
  <c r="E82" i="3"/>
  <c r="E81" i="3"/>
  <c r="E83" i="3"/>
  <c r="L84" i="3"/>
  <c r="M81" i="3" l="1"/>
  <c r="N81" i="3" s="1"/>
  <c r="M83" i="3"/>
  <c r="N83" i="3" s="1"/>
  <c r="M86" i="3"/>
  <c r="N86" i="3" s="1"/>
  <c r="M82" i="3"/>
  <c r="N82" i="3" s="1"/>
  <c r="M85" i="3"/>
  <c r="N85" i="3" s="1"/>
  <c r="E84" i="3"/>
  <c r="M84" i="3"/>
  <c r="N84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<sst xmlns="http://schemas.openxmlformats.org/spreadsheetml/2006/main" count="369" uniqueCount="176">
  <si>
    <t>Overall program flow diagram</t>
  </si>
  <si>
    <t>DESCRIPTION</t>
  </si>
  <si>
    <t>UoM</t>
  </si>
  <si>
    <t>DESIGN_VALUE</t>
  </si>
  <si>
    <t>OPERATING_VALUE</t>
  </si>
  <si>
    <t>NUMBER OF FD FANS IN SERVICE</t>
  </si>
  <si>
    <t>Nos.</t>
  </si>
  <si>
    <t>NUMBER OF ID FANS IN SERVICE</t>
  </si>
  <si>
    <t>NUMBER OF PA FANS IN SERVICE</t>
  </si>
  <si>
    <t>NUMBER OF APHs IN SERVICE</t>
  </si>
  <si>
    <t>-</t>
  </si>
  <si>
    <t>LOAD</t>
  </si>
  <si>
    <t>MW</t>
  </si>
  <si>
    <t>MAIN STEAM FLOW</t>
  </si>
  <si>
    <t>TPH</t>
  </si>
  <si>
    <t>TOTAL AIR FLOW</t>
  </si>
  <si>
    <t>TOTAL SECONDARY AIR FLOW</t>
  </si>
  <si>
    <t>TOTAL COAL FLOW</t>
  </si>
  <si>
    <t>AMBIENT PRESSURE</t>
  </si>
  <si>
    <t>bar (a)</t>
  </si>
  <si>
    <t>AMBIENT TEMPERATURE</t>
  </si>
  <si>
    <t>°C</t>
  </si>
  <si>
    <t>RELATIVE HUMIDITY</t>
  </si>
  <si>
    <t>%</t>
  </si>
  <si>
    <t>NO. OF MILLS IN SERVICE</t>
  </si>
  <si>
    <t>kCal/kg</t>
  </si>
  <si>
    <t>MS PRESSURE</t>
  </si>
  <si>
    <t>MPa</t>
  </si>
  <si>
    <t>MS TEMPERATURE</t>
  </si>
  <si>
    <t>˚C</t>
  </si>
  <si>
    <t>HRH TEMPERATURE</t>
  </si>
  <si>
    <t>APH INLET FLUE GAS TEMPERATURE</t>
  </si>
  <si>
    <t>SUPER HEATER SPRAY</t>
  </si>
  <si>
    <t>REHEATER SPRAY</t>
  </si>
  <si>
    <t>PLANT GROSS HEAT RATE</t>
  </si>
  <si>
    <t>kCal/kWh</t>
  </si>
  <si>
    <t>APH INLET FLUE GAS OXYGEN</t>
  </si>
  <si>
    <t>MILL AVAILABILITY STATUS</t>
  </si>
  <si>
    <t>MILL-A STATUS</t>
  </si>
  <si>
    <t>AVAILABLE</t>
  </si>
  <si>
    <t>MILL-B STATUS</t>
  </si>
  <si>
    <t>MILL-C STATUS</t>
  </si>
  <si>
    <t>MILL-D STATUS</t>
  </si>
  <si>
    <t>MILL-E STATUS</t>
  </si>
  <si>
    <t>MILL-F STATUS</t>
  </si>
  <si>
    <t>NUMBER OF SEAL AIR FANS IN SERVICE</t>
  </si>
  <si>
    <t>ALLOWABLE COAL FLOW PER MILL</t>
  </si>
  <si>
    <t>COAL PROXIMATE ANALYSIS (AFB)</t>
  </si>
  <si>
    <t>TOTAL MOISTURE CONTENT</t>
  </si>
  <si>
    <t>ASH CONTENT</t>
  </si>
  <si>
    <t>FIXED CARBON</t>
  </si>
  <si>
    <t>VOLATILE MATTER</t>
  </si>
  <si>
    <t>GROSS CALORIFIC VALUE</t>
  </si>
  <si>
    <t>FLY ASH LOI</t>
  </si>
  <si>
    <t>BOTTOM ASH LOI</t>
  </si>
  <si>
    <t>COAL AND ASH DETAILS</t>
  </si>
  <si>
    <t>S NO</t>
  </si>
  <si>
    <t>BASIC PROCESS PARAMETERS</t>
  </si>
  <si>
    <t>A</t>
  </si>
  <si>
    <t>ELECTRICAL VOLTAGE</t>
  </si>
  <si>
    <t>Volts</t>
  </si>
  <si>
    <t>INSULATION RESISTANCE</t>
  </si>
  <si>
    <t>Ω</t>
  </si>
  <si>
    <t>MOTOR WINDING TEMPERATURE</t>
  </si>
  <si>
    <t>POLARISATION INDEX</t>
  </si>
  <si>
    <t>TEN DELTA</t>
  </si>
  <si>
    <t>MOTOR BEARING VIBRATION</t>
  </si>
  <si>
    <t>m/sec</t>
  </si>
  <si>
    <t>MOTOR BEARING TEMPERATURE</t>
  </si>
  <si>
    <t>MECHANICAL PARAMETERS</t>
  </si>
  <si>
    <t>MILL BEARING VIBRATION</t>
  </si>
  <si>
    <t>MILL BEARING TEMPERATURE</t>
  </si>
  <si>
    <t>MILL/FEEDER ABNORMAL TRIP IN LAST QUARTER</t>
  </si>
  <si>
    <t>Hrs</t>
  </si>
  <si>
    <t>OPERATIONAL PARAMETERS</t>
  </si>
  <si>
    <t>Pa</t>
  </si>
  <si>
    <t>mmWC</t>
  </si>
  <si>
    <t>HEALTHY</t>
  </si>
  <si>
    <t>COAL PIPE TEMPERATURE</t>
  </si>
  <si>
    <t>LUBE OIL PRESSURE</t>
  </si>
  <si>
    <t>Mpa</t>
  </si>
  <si>
    <t>MILL REJECT CONDITION</t>
  </si>
  <si>
    <t>FLAME INTENSITY HEALTHINESS %</t>
  </si>
  <si>
    <t>INERT STEAM AVAILABILITY</t>
  </si>
  <si>
    <t>ELECTRICAL PARAMETERS</t>
  </si>
  <si>
    <t>OPTIMAL LIMIT</t>
  </si>
  <si>
    <t>Mill-A</t>
  </si>
  <si>
    <t>Mill-B</t>
  </si>
  <si>
    <t>Mill-C</t>
  </si>
  <si>
    <t>Mill-D</t>
  </si>
  <si>
    <t>Mill-E</t>
  </si>
  <si>
    <t>Mill-F</t>
  </si>
  <si>
    <t>BASIC CRITERIA CHECK</t>
  </si>
  <si>
    <t>MILL UNDER MAINTENANCE</t>
  </si>
  <si>
    <t>LOGIC</t>
  </si>
  <si>
    <t>AVAILABILITY</t>
  </si>
  <si>
    <t>MAIN STEAM FLOW &gt; 60% OF DESIGN</t>
  </si>
  <si>
    <t>LOAD &gt; 60% OF DESIGN</t>
  </si>
  <si>
    <t>TOTAL AIR FLOW &gt; 60% OF DESIGN</t>
  </si>
  <si>
    <t>TOTAL SECONDARY AIR FLOW &gt; 60% OF DESIGN</t>
  </si>
  <si>
    <t>TOTAL COAL FLOW &gt; 60% OF DESIGN</t>
  </si>
  <si>
    <t>POWER CONSUMPTION</t>
  </si>
  <si>
    <t>SPECIFIC POWER CONSUMPTION</t>
  </si>
  <si>
    <t>OVERALL HEALTH INDEX MILL-A</t>
  </si>
  <si>
    <t>ESTIMATION OF MILL HEALTH INDEX</t>
  </si>
  <si>
    <t>INDIVIDUAL PARAMETERS SCORE</t>
  </si>
  <si>
    <t>WEIGHTAGE</t>
  </si>
  <si>
    <t>NORMALISED SCORE</t>
  </si>
  <si>
    <t>STATUS</t>
  </si>
  <si>
    <t>HEALTH INDEX</t>
  </si>
  <si>
    <t>MILL-A</t>
  </si>
  <si>
    <t>MILL-B</t>
  </si>
  <si>
    <t>MILL-C</t>
  </si>
  <si>
    <t>MILL-D</t>
  </si>
  <si>
    <t>MILL-E</t>
  </si>
  <si>
    <t>MILL-F</t>
  </si>
  <si>
    <t>NORMALISED WEIGHT</t>
  </si>
  <si>
    <t>ELECTRICAL CATEGORY SCORE</t>
  </si>
  <si>
    <t>MECHANICAL CATEGORY SCORE</t>
  </si>
  <si>
    <t>MILL SPECIFIC POWER CONSUMPTION</t>
  </si>
  <si>
    <t>kWh/T</t>
  </si>
  <si>
    <t>MILL POWER CONSUMPTION</t>
  </si>
  <si>
    <t>RUNNING HOURS SINCE LAST MAINTENANCE</t>
  </si>
  <si>
    <t>PRIMARY AIR FLOW</t>
  </si>
  <si>
    <t>PA INLET TEMPERATURE</t>
  </si>
  <si>
    <t>BOWL DP</t>
  </si>
  <si>
    <t>COAL FINENESS</t>
  </si>
  <si>
    <t>OUTLET PIPE TEMPERATURE</t>
  </si>
  <si>
    <t>PA INLET PRESSURE</t>
  </si>
  <si>
    <t>MILL TO SEAL AIR DP</t>
  </si>
  <si>
    <t>PRIMARY AIR FLOW TO COAL RATIO</t>
  </si>
  <si>
    <t>MILL COAL FLOW</t>
  </si>
  <si>
    <t>OPERATIONAL CATEGORY SCORE</t>
  </si>
  <si>
    <t>NOT AVAILABLE</t>
  </si>
  <si>
    <t>STANDBY</t>
  </si>
  <si>
    <t>PARAMETERS</t>
  </si>
  <si>
    <t>DEVIATION</t>
  </si>
  <si>
    <t>DESIGN</t>
  </si>
  <si>
    <t>OPERATING</t>
  </si>
  <si>
    <t>SPRAY</t>
  </si>
  <si>
    <t>APH TEMP</t>
  </si>
  <si>
    <t>COAL QUALITY</t>
  </si>
  <si>
    <t>LOAD BIAS</t>
  </si>
  <si>
    <t>MILLS REQUIRED</t>
  </si>
  <si>
    <t>CURRENT FLUCTUATION</t>
  </si>
  <si>
    <t>VIBRATION TREND</t>
  </si>
  <si>
    <t>REPEATED ALARMS</t>
  </si>
  <si>
    <t>SPECIFIC COAL CONSUMPTION</t>
  </si>
  <si>
    <t>EXPECTED COALF FLOW</t>
  </si>
  <si>
    <t>MERIT ORDER ESTIMATION</t>
  </si>
  <si>
    <t>RISK PENALTY FACTORS</t>
  </si>
  <si>
    <t>Mill</t>
  </si>
  <si>
    <t>Spray_Bias</t>
  </si>
  <si>
    <t>Metal_Bias</t>
  </si>
  <si>
    <t>APH_Bias</t>
  </si>
  <si>
    <t>GCV_Bias</t>
  </si>
  <si>
    <t>AdjMil_Bias</t>
  </si>
  <si>
    <t>Load_Bias</t>
  </si>
  <si>
    <t>Eff_HI</t>
  </si>
  <si>
    <t>Eff_Rank</t>
  </si>
  <si>
    <t>Run/Stop</t>
  </si>
  <si>
    <t>MILL SCHEDULING OUTPUT</t>
  </si>
  <si>
    <t>PRIORITY</t>
  </si>
  <si>
    <t>ADJ_MILL</t>
  </si>
  <si>
    <t>High</t>
  </si>
  <si>
    <t>Yes</t>
  </si>
  <si>
    <t>No</t>
  </si>
  <si>
    <t>yes</t>
  </si>
  <si>
    <t>Low</t>
  </si>
  <si>
    <t>MOTOR CURRENT</t>
  </si>
  <si>
    <t>FEEDER COAL FLOW</t>
  </si>
  <si>
    <t>PA FLOW</t>
  </si>
  <si>
    <t>INLET TEMPERATURE</t>
  </si>
  <si>
    <t>OUTLET TEMPERATURE</t>
  </si>
  <si>
    <t>MILL FINENESS</t>
  </si>
  <si>
    <t>HIGHEST METAL 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</si>
</sst>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1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i/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05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2" fontId="3" fillId="0" borderId="1" xfId="0" applyNumberFormat="1" applyFont="1" applyBorder="1" applyAlignment="1">
      <alignment horizontal="center" vertical="center"/>
    </xf>
    <xf numFmtId="0" fontId="4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9" fontId="3" fillId="0" borderId="1" xfId="0" applyNumberFormat="1" applyFont="1" applyBorder="1" applyAlignment="1">
      <alignment horizontal="center"/>
    </xf>
    <xf numFmtId="10" fontId="3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left" vertical="center"/>
    </xf>
    <xf numFmtId="2" fontId="3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3" fillId="4" borderId="1" xfId="0" applyFont="1" applyFill="1" applyBorder="1"/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2" fillId="2" borderId="6" xfId="0" applyFont="1" applyFill="1" applyBorder="1"/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/>
    <xf numFmtId="0" fontId="8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7" fillId="0" borderId="1" xfId="0" applyFont="1" applyBorder="1" applyAlignment="1">
      <alignment horizontal="right" vertical="center" wrapText="1"/>
    </xf>
    <xf numFmtId="0" fontId="3" fillId="4" borderId="3" xfId="0" applyFont="1" applyFill="1" applyBorder="1" applyAlignment="1">
      <alignment vertical="center" wrapText="1"/>
    </xf>
    <xf numFmtId="164" fontId="3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2" fontId="9" fillId="5" borderId="1" xfId="0" applyNumberFormat="1" applyFont="1" applyFill="1" applyBorder="1" applyAlignment="1">
      <alignment horizontal="center" vertical="center"/>
    </xf>
    <xf numFmtId="0" fontId="6" fillId="0" borderId="1" xfId="0" applyFont="1" applyBorder="1"/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19" xfId="0" applyFont="1" applyBorder="1" applyAlignment="1">
      <alignment horizontal="center"/>
    </xf>
    <xf numFmtId="0" fontId="6" fillId="0" borderId="0" xfId="0" applyFont="1" applyAlignment="1">
      <alignment vertical="center"/>
    </xf>
    <xf numFmtId="0" fontId="10" fillId="0" borderId="0" xfId="0" applyFont="1"/>
    <xf numFmtId="0" fontId="10" fillId="0" borderId="0" xfId="0" applyFont="1" applyAlignment="1">
      <alignment horizontal="right"/>
    </xf>
    <xf numFmtId="0" fontId="8" fillId="7" borderId="1" xfId="0" applyFont="1" applyFill="1" applyBorder="1"/>
    <xf numFmtId="0" fontId="8" fillId="7" borderId="1" xfId="0" applyFont="1" applyFill="1" applyBorder="1" applyAlignment="1">
      <alignment vertical="center" wrapText="1"/>
    </xf>
    <xf numFmtId="0" fontId="0" fillId="0" borderId="20" xfId="0" applyBorder="1"/>
    <xf numFmtId="9" fontId="0" fillId="0" borderId="20" xfId="1" applyFont="1" applyBorder="1" applyAlignment="1">
      <alignment horizontal="center" vertical="center"/>
    </xf>
    <xf numFmtId="9" fontId="0" fillId="0" borderId="20" xfId="0" applyNumberFormat="1" applyBorder="1" applyAlignment="1">
      <alignment horizontal="center" vertical="center"/>
    </xf>
    <xf numFmtId="0" fontId="0" fillId="0" borderId="19" xfId="0" applyBorder="1"/>
    <xf numFmtId="165" fontId="0" fillId="0" borderId="19" xfId="0" applyNumberFormat="1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0" fontId="0" fillId="0" borderId="15" xfId="0" applyBorder="1"/>
    <xf numFmtId="0" fontId="0" fillId="0" borderId="16" xfId="0" applyBorder="1" applyAlignment="1">
      <alignment horizontal="center" vertical="center"/>
    </xf>
    <xf numFmtId="9" fontId="0" fillId="0" borderId="17" xfId="0" applyNumberFormat="1" applyBorder="1" applyAlignment="1">
      <alignment horizontal="center" vertical="center"/>
    </xf>
    <xf numFmtId="0" fontId="0" fillId="0" borderId="9" xfId="0" applyBorder="1"/>
    <xf numFmtId="9" fontId="0" fillId="0" borderId="11" xfId="0" applyNumberFormat="1" applyBorder="1" applyAlignment="1">
      <alignment horizontal="center" vertical="center"/>
    </xf>
    <xf numFmtId="0" fontId="0" fillId="0" borderId="10" xfId="0" applyBorder="1"/>
    <xf numFmtId="0" fontId="0" fillId="0" borderId="18" xfId="0" applyBorder="1" applyAlignment="1">
      <alignment horizontal="center" vertical="center"/>
    </xf>
    <xf numFmtId="9" fontId="0" fillId="0" borderId="21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6" borderId="12" xfId="0" applyFont="1" applyFill="1" applyBorder="1" applyAlignment="1">
      <alignment horizontal="center" vertical="center"/>
    </xf>
    <xf numFmtId="0" fontId="6" fillId="6" borderId="13" xfId="0" applyFont="1" applyFill="1" applyBorder="1" applyAlignment="1">
      <alignment horizontal="center" vertical="center"/>
    </xf>
    <xf numFmtId="0" fontId="6" fillId="6" borderId="14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2"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552450</xdr:colOff>
      <xdr:row>1</xdr:row>
      <xdr:rowOff>6350</xdr:rowOff>
    </xdr:from>
    <xdr:to>
      <xdr:col>3</xdr:col>
      <xdr:colOff>38100</xdr:colOff>
      <xdr:row>4</xdr:row>
      <xdr:rowOff>6350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69BFA482-420D-48A5-8FEF-C5FB7974E218}"/>
            </a:ext>
          </a:extLst>
        </xdr:cNvPr>
        <xdr:cNvSpPr/>
      </xdr:nvSpPr>
      <xdr:spPr>
        <a:xfrm>
          <a:off x="552450" y="190500"/>
          <a:ext cx="1314450" cy="5524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1"/>
            <a:t>START</a:t>
          </a:r>
        </a:p>
      </xdr:txBody>
    </xdr:sp>
    <xdr:clientData/>
  </xdr:twoCellAnchor>
  <xdr:twoCellAnchor>
    <xdr:from>
      <xdr:col>0</xdr:col>
      <xdr:colOff>431800</xdr:colOff>
      <xdr:row>8</xdr:row>
      <xdr:rowOff>177800</xdr:rowOff>
    </xdr:from>
    <xdr:to>
      <xdr:col>3</xdr:col>
      <xdr:colOff>139700</xdr:colOff>
      <xdr:row>12</xdr:row>
      <xdr:rowOff>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F3F6F1E7-6CCF-7C25-F03F-62E061CFEDFC}"/>
            </a:ext>
          </a:extLst>
        </xdr:cNvPr>
        <xdr:cNvSpPr/>
      </xdr:nvSpPr>
      <xdr:spPr>
        <a:xfrm>
          <a:off x="431800" y="1651000"/>
          <a:ext cx="1536700" cy="5588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/>
            <a:t>INPUT COLLECTION</a:t>
          </a:r>
        </a:p>
      </xdr:txBody>
    </xdr:sp>
    <xdr:clientData/>
  </xdr:twoCellAnchor>
  <xdr:twoCellAnchor>
    <xdr:from>
      <xdr:col>1</xdr:col>
      <xdr:colOff>482600</xdr:colOff>
      <xdr:row>4</xdr:row>
      <xdr:rowOff>100330</xdr:rowOff>
    </xdr:from>
    <xdr:to>
      <xdr:col>2</xdr:col>
      <xdr:colOff>147320</xdr:colOff>
      <xdr:row>8</xdr:row>
      <xdr:rowOff>95250</xdr:rowOff>
    </xdr:to>
    <xdr:sp macro="" textlink="">
      <xdr:nvSpPr>
        <xdr:cNvPr id="4" name="Arrow: Down 3">
          <a:extLst>
            <a:ext uri="{FF2B5EF4-FFF2-40B4-BE49-F238E27FC236}">
              <a16:creationId xmlns:a16="http://schemas.microsoft.com/office/drawing/2014/main" id="{A48312C0-D8E8-4F5A-8A01-6870E3081D31}"/>
            </a:ext>
          </a:extLst>
        </xdr:cNvPr>
        <xdr:cNvSpPr/>
      </xdr:nvSpPr>
      <xdr:spPr>
        <a:xfrm>
          <a:off x="1092200" y="836930"/>
          <a:ext cx="274320" cy="731520"/>
        </a:xfrm>
        <a:prstGeom prst="downArrow">
          <a:avLst>
            <a:gd name="adj1" fmla="val 36111"/>
            <a:gd name="adj2" fmla="val 50000"/>
          </a:avLst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222250</xdr:colOff>
      <xdr:row>9</xdr:row>
      <xdr:rowOff>151130</xdr:rowOff>
    </xdr:from>
    <xdr:to>
      <xdr:col>4</xdr:col>
      <xdr:colOff>344170</xdr:colOff>
      <xdr:row>11</xdr:row>
      <xdr:rowOff>57150</xdr:rowOff>
    </xdr:to>
    <xdr:sp macro="" textlink="">
      <xdr:nvSpPr>
        <xdr:cNvPr id="9" name="Arrow: Down 8">
          <a:extLst>
            <a:ext uri="{FF2B5EF4-FFF2-40B4-BE49-F238E27FC236}">
              <a16:creationId xmlns:a16="http://schemas.microsoft.com/office/drawing/2014/main" id="{633CE508-7F0E-DD32-0E85-E08BE41BAF30}"/>
            </a:ext>
          </a:extLst>
        </xdr:cNvPr>
        <xdr:cNvSpPr/>
      </xdr:nvSpPr>
      <xdr:spPr>
        <a:xfrm rot="16200000">
          <a:off x="2279650" y="1579880"/>
          <a:ext cx="274320" cy="731520"/>
        </a:xfrm>
        <a:prstGeom prst="downArrow">
          <a:avLst>
            <a:gd name="adj1" fmla="val 36111"/>
            <a:gd name="adj2" fmla="val 50000"/>
          </a:avLst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476250</xdr:colOff>
      <xdr:row>9</xdr:row>
      <xdr:rowOff>0</xdr:rowOff>
    </xdr:from>
    <xdr:to>
      <xdr:col>7</xdr:col>
      <xdr:colOff>184150</xdr:colOff>
      <xdr:row>12</xdr:row>
      <xdr:rowOff>6350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48103027-C29B-108B-8212-4C7E6632ABB8}"/>
            </a:ext>
          </a:extLst>
        </xdr:cNvPr>
        <xdr:cNvSpPr/>
      </xdr:nvSpPr>
      <xdr:spPr>
        <a:xfrm>
          <a:off x="2914650" y="1657350"/>
          <a:ext cx="1536700" cy="5588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ysClr val="windowText" lastClr="000000"/>
              </a:solidFill>
            </a:rPr>
            <a:t>BASIC CRITERIA CHECKS</a:t>
          </a:r>
        </a:p>
      </xdr:txBody>
    </xdr:sp>
    <xdr:clientData/>
  </xdr:twoCellAnchor>
  <xdr:twoCellAnchor>
    <xdr:from>
      <xdr:col>8</xdr:col>
      <xdr:colOff>520700</xdr:colOff>
      <xdr:row>9</xdr:row>
      <xdr:rowOff>6350</xdr:rowOff>
    </xdr:from>
    <xdr:to>
      <xdr:col>11</xdr:col>
      <xdr:colOff>228600</xdr:colOff>
      <xdr:row>12</xdr:row>
      <xdr:rowOff>12700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A74E0F65-70F1-DC2E-BC27-165FB3EF74EB}"/>
            </a:ext>
          </a:extLst>
        </xdr:cNvPr>
        <xdr:cNvSpPr/>
      </xdr:nvSpPr>
      <xdr:spPr>
        <a:xfrm>
          <a:off x="5397500" y="1663700"/>
          <a:ext cx="1536700" cy="558800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ysClr val="windowText" lastClr="000000"/>
              </a:solidFill>
            </a:rPr>
            <a:t>AVAILABILITY CHECK</a:t>
          </a:r>
        </a:p>
      </xdr:txBody>
    </xdr:sp>
    <xdr:clientData/>
  </xdr:twoCellAnchor>
  <xdr:twoCellAnchor>
    <xdr:from>
      <xdr:col>12</xdr:col>
      <xdr:colOff>565150</xdr:colOff>
      <xdr:row>9</xdr:row>
      <xdr:rowOff>12700</xdr:rowOff>
    </xdr:from>
    <xdr:to>
      <xdr:col>15</xdr:col>
      <xdr:colOff>273050</xdr:colOff>
      <xdr:row>12</xdr:row>
      <xdr:rowOff>19050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24107E53-006B-6070-BD2F-363993B30047}"/>
            </a:ext>
          </a:extLst>
        </xdr:cNvPr>
        <xdr:cNvSpPr/>
      </xdr:nvSpPr>
      <xdr:spPr>
        <a:xfrm>
          <a:off x="7880350" y="1670050"/>
          <a:ext cx="1536700" cy="5588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ysClr val="windowText" lastClr="000000"/>
              </a:solidFill>
            </a:rPr>
            <a:t>AHI DECISION TREE</a:t>
          </a:r>
        </a:p>
      </xdr:txBody>
    </xdr:sp>
    <xdr:clientData/>
  </xdr:twoCellAnchor>
  <xdr:twoCellAnchor>
    <xdr:from>
      <xdr:col>17</xdr:col>
      <xdr:colOff>0</xdr:colOff>
      <xdr:row>9</xdr:row>
      <xdr:rowOff>19050</xdr:rowOff>
    </xdr:from>
    <xdr:to>
      <xdr:col>19</xdr:col>
      <xdr:colOff>317500</xdr:colOff>
      <xdr:row>12</xdr:row>
      <xdr:rowOff>25400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07195368-CFC2-7A55-B9EC-11289EFC1758}"/>
            </a:ext>
          </a:extLst>
        </xdr:cNvPr>
        <xdr:cNvSpPr/>
      </xdr:nvSpPr>
      <xdr:spPr>
        <a:xfrm>
          <a:off x="10363200" y="1676400"/>
          <a:ext cx="1536700" cy="5588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ysClr val="windowText" lastClr="000000"/>
              </a:solidFill>
            </a:rPr>
            <a:t>AHI EVALUATION</a:t>
          </a:r>
        </a:p>
      </xdr:txBody>
    </xdr:sp>
    <xdr:clientData/>
  </xdr:twoCellAnchor>
  <xdr:twoCellAnchor>
    <xdr:from>
      <xdr:col>17</xdr:col>
      <xdr:colOff>6350</xdr:colOff>
      <xdr:row>15</xdr:row>
      <xdr:rowOff>158750</xdr:rowOff>
    </xdr:from>
    <xdr:to>
      <xdr:col>19</xdr:col>
      <xdr:colOff>323850</xdr:colOff>
      <xdr:row>18</xdr:row>
      <xdr:rowOff>165100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A1626FE1-29EE-4032-18D3-12F280B5A5A0}"/>
            </a:ext>
          </a:extLst>
        </xdr:cNvPr>
        <xdr:cNvSpPr/>
      </xdr:nvSpPr>
      <xdr:spPr>
        <a:xfrm>
          <a:off x="10369550" y="2921000"/>
          <a:ext cx="1536700" cy="5588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/>
            <a:t>MERIT ORDER OUTPUT</a:t>
          </a:r>
        </a:p>
      </xdr:txBody>
    </xdr:sp>
    <xdr:clientData/>
  </xdr:twoCellAnchor>
  <xdr:twoCellAnchor>
    <xdr:from>
      <xdr:col>7</xdr:col>
      <xdr:colOff>292100</xdr:colOff>
      <xdr:row>9</xdr:row>
      <xdr:rowOff>125730</xdr:rowOff>
    </xdr:from>
    <xdr:to>
      <xdr:col>8</xdr:col>
      <xdr:colOff>414020</xdr:colOff>
      <xdr:row>11</xdr:row>
      <xdr:rowOff>31750</xdr:rowOff>
    </xdr:to>
    <xdr:sp macro="" textlink="">
      <xdr:nvSpPr>
        <xdr:cNvPr id="15" name="Arrow: Down 14">
          <a:extLst>
            <a:ext uri="{FF2B5EF4-FFF2-40B4-BE49-F238E27FC236}">
              <a16:creationId xmlns:a16="http://schemas.microsoft.com/office/drawing/2014/main" id="{0AE89D6D-7C5C-A2D0-5BBF-C515EA3AFA42}"/>
            </a:ext>
          </a:extLst>
        </xdr:cNvPr>
        <xdr:cNvSpPr/>
      </xdr:nvSpPr>
      <xdr:spPr>
        <a:xfrm rot="16200000">
          <a:off x="4787900" y="1554480"/>
          <a:ext cx="274320" cy="731520"/>
        </a:xfrm>
        <a:prstGeom prst="downArrow">
          <a:avLst>
            <a:gd name="adj1" fmla="val 36111"/>
            <a:gd name="adj2" fmla="val 50000"/>
          </a:avLst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361950</xdr:colOff>
      <xdr:row>9</xdr:row>
      <xdr:rowOff>100330</xdr:rowOff>
    </xdr:from>
    <xdr:to>
      <xdr:col>12</xdr:col>
      <xdr:colOff>483870</xdr:colOff>
      <xdr:row>11</xdr:row>
      <xdr:rowOff>6350</xdr:rowOff>
    </xdr:to>
    <xdr:sp macro="" textlink="">
      <xdr:nvSpPr>
        <xdr:cNvPr id="16" name="Arrow: Down 15">
          <a:extLst>
            <a:ext uri="{FF2B5EF4-FFF2-40B4-BE49-F238E27FC236}">
              <a16:creationId xmlns:a16="http://schemas.microsoft.com/office/drawing/2014/main" id="{17644755-5140-535D-59E2-206BEAA76EA3}"/>
            </a:ext>
          </a:extLst>
        </xdr:cNvPr>
        <xdr:cNvSpPr/>
      </xdr:nvSpPr>
      <xdr:spPr>
        <a:xfrm rot="16200000">
          <a:off x="7296150" y="1529080"/>
          <a:ext cx="274320" cy="731520"/>
        </a:xfrm>
        <a:prstGeom prst="downArrow">
          <a:avLst>
            <a:gd name="adj1" fmla="val 36111"/>
            <a:gd name="adj2" fmla="val 50000"/>
          </a:avLst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431800</xdr:colOff>
      <xdr:row>9</xdr:row>
      <xdr:rowOff>74930</xdr:rowOff>
    </xdr:from>
    <xdr:to>
      <xdr:col>16</xdr:col>
      <xdr:colOff>553720</xdr:colOff>
      <xdr:row>10</xdr:row>
      <xdr:rowOff>165100</xdr:rowOff>
    </xdr:to>
    <xdr:sp macro="" textlink="">
      <xdr:nvSpPr>
        <xdr:cNvPr id="17" name="Arrow: Down 16">
          <a:extLst>
            <a:ext uri="{FF2B5EF4-FFF2-40B4-BE49-F238E27FC236}">
              <a16:creationId xmlns:a16="http://schemas.microsoft.com/office/drawing/2014/main" id="{6E481082-D00F-6C53-C67E-E87F374D5862}"/>
            </a:ext>
          </a:extLst>
        </xdr:cNvPr>
        <xdr:cNvSpPr/>
      </xdr:nvSpPr>
      <xdr:spPr>
        <a:xfrm rot="16200000">
          <a:off x="9804400" y="1503680"/>
          <a:ext cx="274320" cy="731520"/>
        </a:xfrm>
        <a:prstGeom prst="downArrow">
          <a:avLst>
            <a:gd name="adj1" fmla="val 36111"/>
            <a:gd name="adj2" fmla="val 50000"/>
          </a:avLst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44450</xdr:colOff>
      <xdr:row>12</xdr:row>
      <xdr:rowOff>87630</xdr:rowOff>
    </xdr:from>
    <xdr:to>
      <xdr:col>18</xdr:col>
      <xdr:colOff>318770</xdr:colOff>
      <xdr:row>15</xdr:row>
      <xdr:rowOff>83820</xdr:rowOff>
    </xdr:to>
    <xdr:sp macro="" textlink="">
      <xdr:nvSpPr>
        <xdr:cNvPr id="18" name="Arrow: Down 17">
          <a:extLst>
            <a:ext uri="{FF2B5EF4-FFF2-40B4-BE49-F238E27FC236}">
              <a16:creationId xmlns:a16="http://schemas.microsoft.com/office/drawing/2014/main" id="{B26D54D5-CBA3-1CDB-6E0C-2F61AC88C24C}"/>
            </a:ext>
          </a:extLst>
        </xdr:cNvPr>
        <xdr:cNvSpPr/>
      </xdr:nvSpPr>
      <xdr:spPr>
        <a:xfrm>
          <a:off x="11017250" y="2297430"/>
          <a:ext cx="274320" cy="548640"/>
        </a:xfrm>
        <a:prstGeom prst="downArrow">
          <a:avLst>
            <a:gd name="adj1" fmla="val 36111"/>
            <a:gd name="adj2" fmla="val 50000"/>
          </a:avLst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608264</xdr:colOff>
      <xdr:row>4</xdr:row>
      <xdr:rowOff>145280</xdr:rowOff>
    </xdr:from>
    <xdr:to>
      <xdr:col>20</xdr:col>
      <xdr:colOff>602196</xdr:colOff>
      <xdr:row>7</xdr:row>
      <xdr:rowOff>46601</xdr:rowOff>
    </xdr:to>
    <xdr:cxnSp macro="">
      <xdr:nvCxnSpPr>
        <xdr:cNvPr id="242" name="Connector: Elbow 241">
          <a:extLst>
            <a:ext uri="{FF2B5EF4-FFF2-40B4-BE49-F238E27FC236}">
              <a16:creationId xmlns:a16="http://schemas.microsoft.com/office/drawing/2014/main" id="{3C708906-BE40-4799-A5B5-9DEEB7BD078B}"/>
            </a:ext>
          </a:extLst>
        </xdr:cNvPr>
        <xdr:cNvCxnSpPr/>
      </xdr:nvCxnSpPr>
      <xdr:spPr>
        <a:xfrm rot="16200000" flipH="1">
          <a:off x="9827144" y="-1631400"/>
          <a:ext cx="453771" cy="5480332"/>
        </a:xfrm>
        <a:prstGeom prst="bentConnector3">
          <a:avLst>
            <a:gd name="adj1" fmla="val 50000"/>
          </a:avLst>
        </a:prstGeom>
        <a:noFill/>
        <a:ln w="6350" cap="flat" cmpd="sng" algn="ctr">
          <a:solidFill>
            <a:srgbClr val="5B9BD5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11</xdr:col>
      <xdr:colOff>53975</xdr:colOff>
      <xdr:row>0</xdr:row>
      <xdr:rowOff>153761</xdr:rowOff>
    </xdr:from>
    <xdr:to>
      <xdr:col>12</xdr:col>
      <xdr:colOff>587375</xdr:colOff>
      <xdr:row>3</xdr:row>
      <xdr:rowOff>5442</xdr:rowOff>
    </xdr:to>
    <xdr:sp macro="" textlink="">
      <xdr:nvSpPr>
        <xdr:cNvPr id="243" name="Oval 242">
          <a:extLst>
            <a:ext uri="{FF2B5EF4-FFF2-40B4-BE49-F238E27FC236}">
              <a16:creationId xmlns:a16="http://schemas.microsoft.com/office/drawing/2014/main" id="{8B4FCB54-8F46-41BB-B4F9-6951991DBF33}"/>
            </a:ext>
          </a:extLst>
        </xdr:cNvPr>
        <xdr:cNvSpPr/>
      </xdr:nvSpPr>
      <xdr:spPr>
        <a:xfrm>
          <a:off x="6759575" y="153761"/>
          <a:ext cx="1143000" cy="404131"/>
        </a:xfrm>
        <a:prstGeom prst="ellipse">
          <a:avLst/>
        </a:prstGeom>
        <a:solidFill>
          <a:srgbClr val="5B9BD5"/>
        </a:solidFill>
        <a:ln w="12700" cap="flat" cmpd="sng" algn="ctr">
          <a:solidFill>
            <a:srgbClr val="5B9BD5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Start</a:t>
          </a:r>
        </a:p>
      </xdr:txBody>
    </xdr:sp>
    <xdr:clientData/>
  </xdr:twoCellAnchor>
  <xdr:twoCellAnchor>
    <xdr:from>
      <xdr:col>12</xdr:col>
      <xdr:colOff>19049</xdr:colOff>
      <xdr:row>3</xdr:row>
      <xdr:rowOff>5442</xdr:rowOff>
    </xdr:from>
    <xdr:to>
      <xdr:col>12</xdr:col>
      <xdr:colOff>19049</xdr:colOff>
      <xdr:row>6</xdr:row>
      <xdr:rowOff>2518</xdr:rowOff>
    </xdr:to>
    <xdr:cxnSp macro="">
      <xdr:nvCxnSpPr>
        <xdr:cNvPr id="244" name="Connector: Elbow 243">
          <a:extLst>
            <a:ext uri="{FF2B5EF4-FFF2-40B4-BE49-F238E27FC236}">
              <a16:creationId xmlns:a16="http://schemas.microsoft.com/office/drawing/2014/main" id="{FF253CF6-8B5B-40DE-8B00-BC7C48351712}"/>
            </a:ext>
          </a:extLst>
        </xdr:cNvPr>
        <xdr:cNvCxnSpPr>
          <a:cxnSpLocks/>
          <a:stCxn id="243" idx="4"/>
        </xdr:cNvCxnSpPr>
      </xdr:nvCxnSpPr>
      <xdr:spPr>
        <a:xfrm rot="5400000">
          <a:off x="7059486" y="832655"/>
          <a:ext cx="549526" cy="0"/>
        </a:xfrm>
        <a:prstGeom prst="bentConnector3">
          <a:avLst>
            <a:gd name="adj1" fmla="val 50000"/>
          </a:avLst>
        </a:prstGeom>
        <a:noFill/>
        <a:ln w="6350" cap="flat" cmpd="sng" algn="ctr">
          <a:solidFill>
            <a:srgbClr val="5B9BD5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11813</xdr:colOff>
      <xdr:row>6</xdr:row>
      <xdr:rowOff>17989</xdr:rowOff>
    </xdr:from>
    <xdr:to>
      <xdr:col>20</xdr:col>
      <xdr:colOff>3173</xdr:colOff>
      <xdr:row>7</xdr:row>
      <xdr:rowOff>165096</xdr:rowOff>
    </xdr:to>
    <xdr:cxnSp macro="">
      <xdr:nvCxnSpPr>
        <xdr:cNvPr id="245" name="Connector: Elbow 244">
          <a:extLst>
            <a:ext uri="{FF2B5EF4-FFF2-40B4-BE49-F238E27FC236}">
              <a16:creationId xmlns:a16="http://schemas.microsoft.com/office/drawing/2014/main" id="{F301C15A-7863-474C-BF74-1248F03F9182}"/>
            </a:ext>
          </a:extLst>
        </xdr:cNvPr>
        <xdr:cNvCxnSpPr/>
      </xdr:nvCxnSpPr>
      <xdr:spPr>
        <a:xfrm rot="10800000" flipV="1">
          <a:off x="1853313" y="1160989"/>
          <a:ext cx="10426527" cy="337607"/>
        </a:xfrm>
        <a:prstGeom prst="bentConnector3">
          <a:avLst>
            <a:gd name="adj1" fmla="val 99538"/>
          </a:avLst>
        </a:prstGeom>
        <a:noFill/>
        <a:ln w="6350" cap="flat" cmpd="sng" algn="ctr">
          <a:solidFill>
            <a:srgbClr val="5B9BD5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1</xdr:col>
      <xdr:colOff>514349</xdr:colOff>
      <xdr:row>8</xdr:row>
      <xdr:rowOff>9525</xdr:rowOff>
    </xdr:from>
    <xdr:to>
      <xdr:col>4</xdr:col>
      <xdr:colOff>82774</xdr:colOff>
      <xdr:row>10</xdr:row>
      <xdr:rowOff>40400</xdr:rowOff>
    </xdr:to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9E7F32EB-F280-48F8-95E0-CE2A03C04558}"/>
            </a:ext>
          </a:extLst>
        </xdr:cNvPr>
        <xdr:cNvSpPr/>
      </xdr:nvSpPr>
      <xdr:spPr>
        <a:xfrm>
          <a:off x="1123949" y="1482725"/>
          <a:ext cx="1397225" cy="399175"/>
        </a:xfrm>
        <a:prstGeom prst="rect">
          <a:avLst/>
        </a:prstGeom>
        <a:solidFill>
          <a:srgbClr val="5B9BD5"/>
        </a:solidFill>
        <a:ln w="12700" cap="flat" cmpd="sng" algn="ctr">
          <a:solidFill>
            <a:srgbClr val="5B9BD5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Electrical Problem</a:t>
          </a:r>
        </a:p>
      </xdr:txBody>
    </xdr:sp>
    <xdr:clientData/>
  </xdr:twoCellAnchor>
  <xdr:twoCellAnchor>
    <xdr:from>
      <xdr:col>19</xdr:col>
      <xdr:colOff>523874</xdr:colOff>
      <xdr:row>7</xdr:row>
      <xdr:rowOff>133349</xdr:rowOff>
    </xdr:from>
    <xdr:to>
      <xdr:col>22</xdr:col>
      <xdr:colOff>101824</xdr:colOff>
      <xdr:row>9</xdr:row>
      <xdr:rowOff>173749</xdr:rowOff>
    </xdr:to>
    <xdr:sp macro="" textlink="">
      <xdr:nvSpPr>
        <xdr:cNvPr id="247" name="Rectangle 246">
          <a:extLst>
            <a:ext uri="{FF2B5EF4-FFF2-40B4-BE49-F238E27FC236}">
              <a16:creationId xmlns:a16="http://schemas.microsoft.com/office/drawing/2014/main" id="{C570186D-493A-44EA-94DF-BD357A830C85}"/>
            </a:ext>
          </a:extLst>
        </xdr:cNvPr>
        <xdr:cNvSpPr/>
      </xdr:nvSpPr>
      <xdr:spPr>
        <a:xfrm>
          <a:off x="12106274" y="1422399"/>
          <a:ext cx="1406750" cy="408700"/>
        </a:xfrm>
        <a:prstGeom prst="rect">
          <a:avLst/>
        </a:prstGeom>
        <a:solidFill>
          <a:srgbClr val="5B9BD5"/>
        </a:solidFill>
        <a:ln w="12700" cap="flat" cmpd="sng" algn="ctr">
          <a:solidFill>
            <a:srgbClr val="5B9BD5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Mechanical Problem</a:t>
          </a:r>
        </a:p>
      </xdr:txBody>
    </xdr:sp>
    <xdr:clientData/>
  </xdr:twoCellAnchor>
  <xdr:twoCellAnchor>
    <xdr:from>
      <xdr:col>2</xdr:col>
      <xdr:colOff>600187</xdr:colOff>
      <xdr:row>10</xdr:row>
      <xdr:rowOff>40400</xdr:rowOff>
    </xdr:from>
    <xdr:to>
      <xdr:col>3</xdr:col>
      <xdr:colOff>0</xdr:colOff>
      <xdr:row>13</xdr:row>
      <xdr:rowOff>25400</xdr:rowOff>
    </xdr:to>
    <xdr:cxnSp macro="">
      <xdr:nvCxnSpPr>
        <xdr:cNvPr id="248" name="Straight Arrow Connector 247">
          <a:extLst>
            <a:ext uri="{FF2B5EF4-FFF2-40B4-BE49-F238E27FC236}">
              <a16:creationId xmlns:a16="http://schemas.microsoft.com/office/drawing/2014/main" id="{E3F782DF-0D14-4811-A2F3-C2848E8967C2}"/>
            </a:ext>
          </a:extLst>
        </xdr:cNvPr>
        <xdr:cNvCxnSpPr>
          <a:stCxn id="246" idx="2"/>
        </xdr:cNvCxnSpPr>
      </xdr:nvCxnSpPr>
      <xdr:spPr>
        <a:xfrm>
          <a:off x="1819387" y="1881900"/>
          <a:ext cx="9413" cy="537450"/>
        </a:xfrm>
        <a:prstGeom prst="straightConnector1">
          <a:avLst/>
        </a:prstGeom>
        <a:noFill/>
        <a:ln w="6350" cap="flat" cmpd="sng" algn="ctr">
          <a:solidFill>
            <a:srgbClr val="5B9BD5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1</xdr:col>
      <xdr:colOff>171428</xdr:colOff>
      <xdr:row>13</xdr:row>
      <xdr:rowOff>50799</xdr:rowOff>
    </xdr:from>
    <xdr:to>
      <xdr:col>4</xdr:col>
      <xdr:colOff>430628</xdr:colOff>
      <xdr:row>18</xdr:row>
      <xdr:rowOff>45924</xdr:rowOff>
    </xdr:to>
    <xdr:sp macro="" textlink="">
      <xdr:nvSpPr>
        <xdr:cNvPr id="249" name="Flowchart: Decision 248">
          <a:extLst>
            <a:ext uri="{FF2B5EF4-FFF2-40B4-BE49-F238E27FC236}">
              <a16:creationId xmlns:a16="http://schemas.microsoft.com/office/drawing/2014/main" id="{555EAD65-F003-46D7-B84A-727C9E41EA28}"/>
            </a:ext>
          </a:extLst>
        </xdr:cNvPr>
        <xdr:cNvSpPr/>
      </xdr:nvSpPr>
      <xdr:spPr>
        <a:xfrm>
          <a:off x="781028" y="2444749"/>
          <a:ext cx="2088000" cy="915875"/>
        </a:xfrm>
        <a:prstGeom prst="flowChartDecision">
          <a:avLst/>
        </a:prstGeom>
        <a:solidFill>
          <a:srgbClr val="5B9BD5"/>
        </a:solidFill>
        <a:ln w="12700" cap="flat" cmpd="sng" algn="ctr">
          <a:solidFill>
            <a:srgbClr val="5B9BD5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Motor Current Deviation</a:t>
          </a:r>
        </a:p>
      </xdr:txBody>
    </xdr:sp>
    <xdr:clientData/>
  </xdr:twoCellAnchor>
  <xdr:twoCellAnchor>
    <xdr:from>
      <xdr:col>0</xdr:col>
      <xdr:colOff>471376</xdr:colOff>
      <xdr:row>15</xdr:row>
      <xdr:rowOff>145192</xdr:rowOff>
    </xdr:from>
    <xdr:to>
      <xdr:col>1</xdr:col>
      <xdr:colOff>221776</xdr:colOff>
      <xdr:row>66</xdr:row>
      <xdr:rowOff>159656</xdr:rowOff>
    </xdr:to>
    <xdr:cxnSp macro="">
      <xdr:nvCxnSpPr>
        <xdr:cNvPr id="250" name="Connector: Elbow 249">
          <a:extLst>
            <a:ext uri="{FF2B5EF4-FFF2-40B4-BE49-F238E27FC236}">
              <a16:creationId xmlns:a16="http://schemas.microsoft.com/office/drawing/2014/main" id="{80964B4F-7C7F-470A-9AC9-02F2555A34AF}"/>
            </a:ext>
          </a:extLst>
        </xdr:cNvPr>
        <xdr:cNvCxnSpPr/>
      </xdr:nvCxnSpPr>
      <xdr:spPr>
        <a:xfrm rot="10800000" flipV="1">
          <a:off x="471376" y="2907442"/>
          <a:ext cx="360000" cy="9406114"/>
        </a:xfrm>
        <a:prstGeom prst="bentConnector2">
          <a:avLst/>
        </a:prstGeom>
        <a:noFill/>
        <a:ln w="6350" cap="flat" cmpd="sng" algn="ctr">
          <a:solidFill>
            <a:srgbClr val="5B9BD5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352403</xdr:colOff>
      <xdr:row>20</xdr:row>
      <xdr:rowOff>79374</xdr:rowOff>
    </xdr:from>
    <xdr:to>
      <xdr:col>7</xdr:col>
      <xdr:colOff>2003</xdr:colOff>
      <xdr:row>25</xdr:row>
      <xdr:rowOff>75349</xdr:rowOff>
    </xdr:to>
    <xdr:sp macro="" textlink="">
      <xdr:nvSpPr>
        <xdr:cNvPr id="251" name="Flowchart: Decision 250">
          <a:extLst>
            <a:ext uri="{FF2B5EF4-FFF2-40B4-BE49-F238E27FC236}">
              <a16:creationId xmlns:a16="http://schemas.microsoft.com/office/drawing/2014/main" id="{1C6D1721-B9DD-409B-9701-93A3AE83F0C8}"/>
            </a:ext>
          </a:extLst>
        </xdr:cNvPr>
        <xdr:cNvSpPr/>
      </xdr:nvSpPr>
      <xdr:spPr>
        <a:xfrm>
          <a:off x="2181203" y="3762374"/>
          <a:ext cx="2088000" cy="916725"/>
        </a:xfrm>
        <a:prstGeom prst="flowChartDecision">
          <a:avLst/>
        </a:prstGeom>
        <a:solidFill>
          <a:srgbClr val="5B9BD5"/>
        </a:solidFill>
        <a:ln w="12700" cap="flat" cmpd="sng" algn="ctr">
          <a:solidFill>
            <a:srgbClr val="5B9BD5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Check Winding Temperature</a:t>
          </a:r>
        </a:p>
      </xdr:txBody>
    </xdr:sp>
    <xdr:clientData/>
  </xdr:twoCellAnchor>
  <xdr:twoCellAnchor>
    <xdr:from>
      <xdr:col>4</xdr:col>
      <xdr:colOff>427453</xdr:colOff>
      <xdr:row>15</xdr:row>
      <xdr:rowOff>145199</xdr:rowOff>
    </xdr:from>
    <xdr:to>
      <xdr:col>5</xdr:col>
      <xdr:colOff>177853</xdr:colOff>
      <xdr:row>20</xdr:row>
      <xdr:rowOff>57949</xdr:rowOff>
    </xdr:to>
    <xdr:cxnSp macro="">
      <xdr:nvCxnSpPr>
        <xdr:cNvPr id="252" name="Connector: Elbow 251">
          <a:extLst>
            <a:ext uri="{FF2B5EF4-FFF2-40B4-BE49-F238E27FC236}">
              <a16:creationId xmlns:a16="http://schemas.microsoft.com/office/drawing/2014/main" id="{900213A8-B96A-4AFC-AD4C-5619888C5489}"/>
            </a:ext>
          </a:extLst>
        </xdr:cNvPr>
        <xdr:cNvCxnSpPr>
          <a:stCxn id="249" idx="3"/>
        </xdr:cNvCxnSpPr>
      </xdr:nvCxnSpPr>
      <xdr:spPr>
        <a:xfrm>
          <a:off x="2865853" y="2907449"/>
          <a:ext cx="360000" cy="833500"/>
        </a:xfrm>
        <a:prstGeom prst="bentConnector2">
          <a:avLst/>
        </a:prstGeom>
        <a:noFill/>
        <a:ln w="6350" cap="flat" cmpd="sng" algn="ctr">
          <a:solidFill>
            <a:srgbClr val="5B9BD5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11454</xdr:colOff>
      <xdr:row>23</xdr:row>
      <xdr:rowOff>2324</xdr:rowOff>
    </xdr:from>
    <xdr:to>
      <xdr:col>3</xdr:col>
      <xdr:colOff>371454</xdr:colOff>
      <xdr:row>27</xdr:row>
      <xdr:rowOff>92075</xdr:rowOff>
    </xdr:to>
    <xdr:cxnSp macro="">
      <xdr:nvCxnSpPr>
        <xdr:cNvPr id="253" name="Connector: Elbow 252">
          <a:extLst>
            <a:ext uri="{FF2B5EF4-FFF2-40B4-BE49-F238E27FC236}">
              <a16:creationId xmlns:a16="http://schemas.microsoft.com/office/drawing/2014/main" id="{878B717B-8345-498F-A9D2-0792ED8B4121}"/>
            </a:ext>
          </a:extLst>
        </xdr:cNvPr>
        <xdr:cNvCxnSpPr/>
      </xdr:nvCxnSpPr>
      <xdr:spPr>
        <a:xfrm rot="10800000" flipV="1">
          <a:off x="1840254" y="4237774"/>
          <a:ext cx="360000" cy="826351"/>
        </a:xfrm>
        <a:prstGeom prst="bentConnector2">
          <a:avLst/>
        </a:prstGeom>
        <a:noFill/>
        <a:ln w="6350" cap="flat" cmpd="sng" algn="ctr">
          <a:solidFill>
            <a:srgbClr val="5B9BD5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7</xdr:col>
      <xdr:colOff>17878</xdr:colOff>
      <xdr:row>22</xdr:row>
      <xdr:rowOff>180124</xdr:rowOff>
    </xdr:from>
    <xdr:to>
      <xdr:col>7</xdr:col>
      <xdr:colOff>377878</xdr:colOff>
      <xdr:row>27</xdr:row>
      <xdr:rowOff>92874</xdr:rowOff>
    </xdr:to>
    <xdr:cxnSp macro="">
      <xdr:nvCxnSpPr>
        <xdr:cNvPr id="254" name="Connector: Elbow 253">
          <a:extLst>
            <a:ext uri="{FF2B5EF4-FFF2-40B4-BE49-F238E27FC236}">
              <a16:creationId xmlns:a16="http://schemas.microsoft.com/office/drawing/2014/main" id="{59B50BE5-3B7B-4A7C-A2C0-870424E1723A}"/>
            </a:ext>
          </a:extLst>
        </xdr:cNvPr>
        <xdr:cNvCxnSpPr/>
      </xdr:nvCxnSpPr>
      <xdr:spPr>
        <a:xfrm>
          <a:off x="4285078" y="4231424"/>
          <a:ext cx="360000" cy="833500"/>
        </a:xfrm>
        <a:prstGeom prst="bentConnector2">
          <a:avLst/>
        </a:prstGeom>
        <a:noFill/>
        <a:ln w="6350" cap="flat" cmpd="sng" algn="ctr">
          <a:solidFill>
            <a:srgbClr val="5B9BD5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1</xdr:col>
      <xdr:colOff>184128</xdr:colOff>
      <xdr:row>27</xdr:row>
      <xdr:rowOff>85724</xdr:rowOff>
    </xdr:from>
    <xdr:to>
      <xdr:col>4</xdr:col>
      <xdr:colOff>440153</xdr:colOff>
      <xdr:row>32</xdr:row>
      <xdr:rowOff>88049</xdr:rowOff>
    </xdr:to>
    <xdr:sp macro="" textlink="">
      <xdr:nvSpPr>
        <xdr:cNvPr id="255" name="Flowchart: Decision 254">
          <a:extLst>
            <a:ext uri="{FF2B5EF4-FFF2-40B4-BE49-F238E27FC236}">
              <a16:creationId xmlns:a16="http://schemas.microsoft.com/office/drawing/2014/main" id="{1921F0CE-DD02-49B1-849E-29A12F767A81}"/>
            </a:ext>
          </a:extLst>
        </xdr:cNvPr>
        <xdr:cNvSpPr/>
      </xdr:nvSpPr>
      <xdr:spPr>
        <a:xfrm>
          <a:off x="793728" y="5057774"/>
          <a:ext cx="2084825" cy="923075"/>
        </a:xfrm>
        <a:prstGeom prst="flowChartDecision">
          <a:avLst/>
        </a:prstGeom>
        <a:solidFill>
          <a:srgbClr val="5B9BD5"/>
        </a:solidFill>
        <a:ln w="12700" cap="flat" cmpd="sng" algn="ctr">
          <a:solidFill>
            <a:srgbClr val="5B9BD5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Check IR Value</a:t>
          </a:r>
        </a:p>
      </xdr:txBody>
    </xdr:sp>
    <xdr:clientData/>
  </xdr:twoCellAnchor>
  <xdr:twoCellAnchor>
    <xdr:from>
      <xdr:col>5</xdr:col>
      <xdr:colOff>555603</xdr:colOff>
      <xdr:row>27</xdr:row>
      <xdr:rowOff>98424</xdr:rowOff>
    </xdr:from>
    <xdr:to>
      <xdr:col>9</xdr:col>
      <xdr:colOff>202028</xdr:colOff>
      <xdr:row>32</xdr:row>
      <xdr:rowOff>94399</xdr:rowOff>
    </xdr:to>
    <xdr:sp macro="" textlink="">
      <xdr:nvSpPr>
        <xdr:cNvPr id="256" name="Flowchart: Decision 255">
          <a:extLst>
            <a:ext uri="{FF2B5EF4-FFF2-40B4-BE49-F238E27FC236}">
              <a16:creationId xmlns:a16="http://schemas.microsoft.com/office/drawing/2014/main" id="{B84FD706-A0FE-4854-997D-48EDC07CB32B}"/>
            </a:ext>
          </a:extLst>
        </xdr:cNvPr>
        <xdr:cNvSpPr/>
      </xdr:nvSpPr>
      <xdr:spPr>
        <a:xfrm>
          <a:off x="3603603" y="5070474"/>
          <a:ext cx="2084825" cy="916725"/>
        </a:xfrm>
        <a:prstGeom prst="flowChartDecision">
          <a:avLst/>
        </a:prstGeom>
        <a:solidFill>
          <a:srgbClr val="5B9BD5"/>
        </a:solidFill>
        <a:ln w="12700" cap="flat" cmpd="sng" algn="ctr">
          <a:solidFill>
            <a:srgbClr val="5B9BD5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Motor DE/NDE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Temperature</a:t>
          </a:r>
        </a:p>
      </xdr:txBody>
    </xdr:sp>
    <xdr:clientData/>
  </xdr:twoCellAnchor>
  <xdr:twoCellAnchor>
    <xdr:from>
      <xdr:col>5</xdr:col>
      <xdr:colOff>201954</xdr:colOff>
      <xdr:row>30</xdr:row>
      <xdr:rowOff>11849</xdr:rowOff>
    </xdr:from>
    <xdr:to>
      <xdr:col>5</xdr:col>
      <xdr:colOff>561954</xdr:colOff>
      <xdr:row>34</xdr:row>
      <xdr:rowOff>101600</xdr:rowOff>
    </xdr:to>
    <xdr:cxnSp macro="">
      <xdr:nvCxnSpPr>
        <xdr:cNvPr id="257" name="Connector: Elbow 256">
          <a:extLst>
            <a:ext uri="{FF2B5EF4-FFF2-40B4-BE49-F238E27FC236}">
              <a16:creationId xmlns:a16="http://schemas.microsoft.com/office/drawing/2014/main" id="{719EC93A-FCA7-49AE-B8B3-1061FC734212}"/>
            </a:ext>
          </a:extLst>
        </xdr:cNvPr>
        <xdr:cNvCxnSpPr/>
      </xdr:nvCxnSpPr>
      <xdr:spPr>
        <a:xfrm rot="10800000" flipV="1">
          <a:off x="3249954" y="5536349"/>
          <a:ext cx="360000" cy="826351"/>
        </a:xfrm>
        <a:prstGeom prst="bentConnector2">
          <a:avLst/>
        </a:prstGeom>
        <a:noFill/>
        <a:ln w="6350" cap="flat" cmpd="sng" algn="ctr">
          <a:solidFill>
            <a:srgbClr val="5B9BD5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9</xdr:col>
      <xdr:colOff>198853</xdr:colOff>
      <xdr:row>30</xdr:row>
      <xdr:rowOff>11849</xdr:rowOff>
    </xdr:from>
    <xdr:to>
      <xdr:col>9</xdr:col>
      <xdr:colOff>558853</xdr:colOff>
      <xdr:row>34</xdr:row>
      <xdr:rowOff>102399</xdr:rowOff>
    </xdr:to>
    <xdr:cxnSp macro="">
      <xdr:nvCxnSpPr>
        <xdr:cNvPr id="258" name="Connector: Elbow 257">
          <a:extLst>
            <a:ext uri="{FF2B5EF4-FFF2-40B4-BE49-F238E27FC236}">
              <a16:creationId xmlns:a16="http://schemas.microsoft.com/office/drawing/2014/main" id="{BBE596F5-D6A0-4EA8-B819-252F6F7F0A5A}"/>
            </a:ext>
          </a:extLst>
        </xdr:cNvPr>
        <xdr:cNvCxnSpPr/>
      </xdr:nvCxnSpPr>
      <xdr:spPr>
        <a:xfrm>
          <a:off x="5685253" y="5536349"/>
          <a:ext cx="360000" cy="827150"/>
        </a:xfrm>
        <a:prstGeom prst="bentConnector2">
          <a:avLst/>
        </a:prstGeom>
        <a:noFill/>
        <a:ln w="6350" cap="flat" cmpd="sng" algn="ctr">
          <a:solidFill>
            <a:srgbClr val="5B9BD5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112</xdr:colOff>
      <xdr:row>32</xdr:row>
      <xdr:rowOff>103900</xdr:rowOff>
    </xdr:from>
    <xdr:to>
      <xdr:col>3</xdr:col>
      <xdr:colOff>9525</xdr:colOff>
      <xdr:row>35</xdr:row>
      <xdr:rowOff>95250</xdr:rowOff>
    </xdr:to>
    <xdr:cxnSp macro="">
      <xdr:nvCxnSpPr>
        <xdr:cNvPr id="259" name="Straight Arrow Connector 258">
          <a:extLst>
            <a:ext uri="{FF2B5EF4-FFF2-40B4-BE49-F238E27FC236}">
              <a16:creationId xmlns:a16="http://schemas.microsoft.com/office/drawing/2014/main" id="{FEBF6D8C-A4AA-4919-B564-2B494A7867CE}"/>
            </a:ext>
          </a:extLst>
        </xdr:cNvPr>
        <xdr:cNvCxnSpPr/>
      </xdr:nvCxnSpPr>
      <xdr:spPr>
        <a:xfrm>
          <a:off x="1828912" y="5996700"/>
          <a:ext cx="9413" cy="543800"/>
        </a:xfrm>
        <a:prstGeom prst="straightConnector1">
          <a:avLst/>
        </a:prstGeom>
        <a:noFill/>
        <a:ln w="6350" cap="flat" cmpd="sng" algn="ctr">
          <a:solidFill>
            <a:srgbClr val="5B9BD5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152400</xdr:colOff>
      <xdr:row>35</xdr:row>
      <xdr:rowOff>123824</xdr:rowOff>
    </xdr:from>
    <xdr:to>
      <xdr:col>3</xdr:col>
      <xdr:colOff>457200</xdr:colOff>
      <xdr:row>41</xdr:row>
      <xdr:rowOff>45974</xdr:rowOff>
    </xdr:to>
    <xdr:sp macro="" textlink="">
      <xdr:nvSpPr>
        <xdr:cNvPr id="260" name="Flowchart: Document 259">
          <a:extLst>
            <a:ext uri="{FF2B5EF4-FFF2-40B4-BE49-F238E27FC236}">
              <a16:creationId xmlns:a16="http://schemas.microsoft.com/office/drawing/2014/main" id="{9814EE75-5E7E-46DB-AB92-31EA494E2C57}"/>
            </a:ext>
          </a:extLst>
        </xdr:cNvPr>
        <xdr:cNvSpPr/>
      </xdr:nvSpPr>
      <xdr:spPr>
        <a:xfrm>
          <a:off x="1371600" y="6569074"/>
          <a:ext cx="914400" cy="1027050"/>
        </a:xfrm>
        <a:prstGeom prst="flowChartDocument">
          <a:avLst/>
        </a:prstGeom>
        <a:solidFill>
          <a:srgbClr val="5B9BD5"/>
        </a:solidFill>
        <a:ln w="12700" cap="flat" cmpd="sng" algn="ctr">
          <a:solidFill>
            <a:srgbClr val="5B9BD5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Power Cable or Winding Insulation Damaged</a:t>
          </a:r>
        </a:p>
      </xdr:txBody>
    </xdr:sp>
    <xdr:clientData/>
  </xdr:twoCellAnchor>
  <xdr:twoCellAnchor>
    <xdr:from>
      <xdr:col>4</xdr:col>
      <xdr:colOff>117474</xdr:colOff>
      <xdr:row>34</xdr:row>
      <xdr:rowOff>114295</xdr:rowOff>
    </xdr:from>
    <xdr:to>
      <xdr:col>6</xdr:col>
      <xdr:colOff>295499</xdr:colOff>
      <xdr:row>38</xdr:row>
      <xdr:rowOff>2395</xdr:rowOff>
    </xdr:to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745EF199-3269-4260-A196-D9A84C5406DD}"/>
            </a:ext>
          </a:extLst>
        </xdr:cNvPr>
        <xdr:cNvSpPr/>
      </xdr:nvSpPr>
      <xdr:spPr>
        <a:xfrm>
          <a:off x="2555874" y="6375395"/>
          <a:ext cx="1397225" cy="624700"/>
        </a:xfrm>
        <a:prstGeom prst="rect">
          <a:avLst/>
        </a:prstGeom>
        <a:solidFill>
          <a:srgbClr val="5B9BD5"/>
        </a:solidFill>
        <a:ln w="12700" cap="flat" cmpd="sng" algn="ctr">
          <a:solidFill>
            <a:srgbClr val="5B9BD5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Check bearing grease condition &amp; perform greasing</a:t>
          </a:r>
        </a:p>
      </xdr:txBody>
    </xdr:sp>
    <xdr:clientData/>
  </xdr:twoCellAnchor>
  <xdr:twoCellAnchor>
    <xdr:from>
      <xdr:col>8</xdr:col>
      <xdr:colOff>469899</xdr:colOff>
      <xdr:row>34</xdr:row>
      <xdr:rowOff>117470</xdr:rowOff>
    </xdr:from>
    <xdr:to>
      <xdr:col>11</xdr:col>
      <xdr:colOff>45099</xdr:colOff>
      <xdr:row>38</xdr:row>
      <xdr:rowOff>2395</xdr:rowOff>
    </xdr:to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2CAC223F-AC22-4078-949A-6F9A864AE72F}"/>
            </a:ext>
          </a:extLst>
        </xdr:cNvPr>
        <xdr:cNvSpPr/>
      </xdr:nvSpPr>
      <xdr:spPr>
        <a:xfrm>
          <a:off x="5346699" y="6378570"/>
          <a:ext cx="1404000" cy="621525"/>
        </a:xfrm>
        <a:prstGeom prst="rect">
          <a:avLst/>
        </a:prstGeom>
        <a:solidFill>
          <a:srgbClr val="5B9BD5"/>
        </a:solidFill>
        <a:ln w="12700" cap="flat" cmpd="sng" algn="ctr">
          <a:solidFill>
            <a:srgbClr val="5B9BD5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Mechanical Fault perform vibration analysis</a:t>
          </a:r>
        </a:p>
      </xdr:txBody>
    </xdr:sp>
    <xdr:clientData/>
  </xdr:twoCellAnchor>
  <xdr:twoCellAnchor>
    <xdr:from>
      <xdr:col>25</xdr:col>
      <xdr:colOff>14096</xdr:colOff>
      <xdr:row>13</xdr:row>
      <xdr:rowOff>106983</xdr:rowOff>
    </xdr:from>
    <xdr:to>
      <xdr:col>28</xdr:col>
      <xdr:colOff>232021</xdr:colOff>
      <xdr:row>18</xdr:row>
      <xdr:rowOff>95758</xdr:rowOff>
    </xdr:to>
    <xdr:sp macro="" textlink="">
      <xdr:nvSpPr>
        <xdr:cNvPr id="263" name="Flowchart: Decision 262">
          <a:extLst>
            <a:ext uri="{FF2B5EF4-FFF2-40B4-BE49-F238E27FC236}">
              <a16:creationId xmlns:a16="http://schemas.microsoft.com/office/drawing/2014/main" id="{AC61AB22-ED44-47FC-99F3-1529CBFC82EC}"/>
            </a:ext>
          </a:extLst>
        </xdr:cNvPr>
        <xdr:cNvSpPr/>
      </xdr:nvSpPr>
      <xdr:spPr>
        <a:xfrm>
          <a:off x="15254096" y="2500933"/>
          <a:ext cx="2046725" cy="909525"/>
        </a:xfrm>
        <a:prstGeom prst="flowChartDecision">
          <a:avLst/>
        </a:prstGeom>
        <a:solidFill>
          <a:srgbClr val="5B9BD5"/>
        </a:solidFill>
        <a:ln w="12700" cap="flat" cmpd="sng" algn="ctr">
          <a:solidFill>
            <a:srgbClr val="5B9BD5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Mill Feeder Abnormal Operation</a:t>
          </a:r>
        </a:p>
      </xdr:txBody>
    </xdr:sp>
    <xdr:clientData/>
  </xdr:twoCellAnchor>
  <xdr:twoCellAnchor>
    <xdr:from>
      <xdr:col>24</xdr:col>
      <xdr:colOff>250997</xdr:colOff>
      <xdr:row>16</xdr:row>
      <xdr:rowOff>9640</xdr:rowOff>
    </xdr:from>
    <xdr:to>
      <xdr:col>25</xdr:col>
      <xdr:colOff>14097</xdr:colOff>
      <xdr:row>20</xdr:row>
      <xdr:rowOff>113333</xdr:rowOff>
    </xdr:to>
    <xdr:cxnSp macro="">
      <xdr:nvCxnSpPr>
        <xdr:cNvPr id="264" name="Connector: Elbow 263">
          <a:extLst>
            <a:ext uri="{FF2B5EF4-FFF2-40B4-BE49-F238E27FC236}">
              <a16:creationId xmlns:a16="http://schemas.microsoft.com/office/drawing/2014/main" id="{D8F12564-8FF0-4F75-A74B-21DFD6E17F12}"/>
            </a:ext>
          </a:extLst>
        </xdr:cNvPr>
        <xdr:cNvCxnSpPr>
          <a:stCxn id="263" idx="1"/>
        </xdr:cNvCxnSpPr>
      </xdr:nvCxnSpPr>
      <xdr:spPr>
        <a:xfrm rot="10800000" flipV="1">
          <a:off x="14881397" y="2956040"/>
          <a:ext cx="372700" cy="840293"/>
        </a:xfrm>
        <a:prstGeom prst="bentConnector2">
          <a:avLst/>
        </a:prstGeom>
        <a:noFill/>
        <a:ln w="6350" cap="flat" cmpd="sng" algn="ctr">
          <a:solidFill>
            <a:srgbClr val="5B9BD5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17</xdr:col>
      <xdr:colOff>595583</xdr:colOff>
      <xdr:row>9</xdr:row>
      <xdr:rowOff>152392</xdr:rowOff>
    </xdr:from>
    <xdr:to>
      <xdr:col>20</xdr:col>
      <xdr:colOff>602783</xdr:colOff>
      <xdr:row>13</xdr:row>
      <xdr:rowOff>76492</xdr:rowOff>
    </xdr:to>
    <xdr:cxnSp macro="">
      <xdr:nvCxnSpPr>
        <xdr:cNvPr id="265" name="Connector: Elbow 264">
          <a:extLst>
            <a:ext uri="{FF2B5EF4-FFF2-40B4-BE49-F238E27FC236}">
              <a16:creationId xmlns:a16="http://schemas.microsoft.com/office/drawing/2014/main" id="{2D7FC945-ED26-47F7-82B6-0BAFEEDE5F25}"/>
            </a:ext>
          </a:extLst>
        </xdr:cNvPr>
        <xdr:cNvCxnSpPr/>
      </xdr:nvCxnSpPr>
      <xdr:spPr>
        <a:xfrm rot="5400000">
          <a:off x="11546433" y="1222092"/>
          <a:ext cx="660700" cy="1836000"/>
        </a:xfrm>
        <a:prstGeom prst="bentConnector3">
          <a:avLst>
            <a:gd name="adj1" fmla="val 50000"/>
          </a:avLst>
        </a:prstGeom>
        <a:noFill/>
        <a:ln w="6350" cap="flat" cmpd="sng" algn="ctr">
          <a:solidFill>
            <a:srgbClr val="5B9BD5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20</xdr:col>
      <xdr:colOff>598078</xdr:colOff>
      <xdr:row>9</xdr:row>
      <xdr:rowOff>170941</xdr:rowOff>
    </xdr:from>
    <xdr:to>
      <xdr:col>26</xdr:col>
      <xdr:colOff>452150</xdr:colOff>
      <xdr:row>13</xdr:row>
      <xdr:rowOff>95041</xdr:rowOff>
    </xdr:to>
    <xdr:cxnSp macro="">
      <xdr:nvCxnSpPr>
        <xdr:cNvPr id="266" name="Connector: Elbow 265">
          <a:extLst>
            <a:ext uri="{FF2B5EF4-FFF2-40B4-BE49-F238E27FC236}">
              <a16:creationId xmlns:a16="http://schemas.microsoft.com/office/drawing/2014/main" id="{C7F33557-FE36-4F7E-A1E3-131C9F8FCC0F}"/>
            </a:ext>
          </a:extLst>
        </xdr:cNvPr>
        <xdr:cNvCxnSpPr/>
      </xdr:nvCxnSpPr>
      <xdr:spPr>
        <a:xfrm rot="16200000" flipH="1">
          <a:off x="14215564" y="402805"/>
          <a:ext cx="660700" cy="3511672"/>
        </a:xfrm>
        <a:prstGeom prst="bentConnector3">
          <a:avLst>
            <a:gd name="adj1" fmla="val 45874"/>
          </a:avLst>
        </a:prstGeom>
        <a:noFill/>
        <a:ln w="6350" cap="flat" cmpd="sng" algn="ctr">
          <a:solidFill>
            <a:srgbClr val="5B9BD5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16</xdr:col>
      <xdr:colOff>22192</xdr:colOff>
      <xdr:row>13</xdr:row>
      <xdr:rowOff>69847</xdr:rowOff>
    </xdr:from>
    <xdr:to>
      <xdr:col>19</xdr:col>
      <xdr:colOff>569392</xdr:colOff>
      <xdr:row>21</xdr:row>
      <xdr:rowOff>68397</xdr:rowOff>
    </xdr:to>
    <xdr:sp macro="" textlink="">
      <xdr:nvSpPr>
        <xdr:cNvPr id="267" name="Flowchart: Decision 266">
          <a:extLst>
            <a:ext uri="{FF2B5EF4-FFF2-40B4-BE49-F238E27FC236}">
              <a16:creationId xmlns:a16="http://schemas.microsoft.com/office/drawing/2014/main" id="{8883E868-9BAC-4841-9925-CB519AA24243}"/>
            </a:ext>
          </a:extLst>
        </xdr:cNvPr>
        <xdr:cNvSpPr/>
      </xdr:nvSpPr>
      <xdr:spPr>
        <a:xfrm>
          <a:off x="9775792" y="2463797"/>
          <a:ext cx="2376000" cy="1471750"/>
        </a:xfrm>
        <a:prstGeom prst="flowChartDecision">
          <a:avLst/>
        </a:prstGeom>
        <a:solidFill>
          <a:srgbClr val="5B9BD5"/>
        </a:solidFill>
        <a:ln w="12700" cap="flat" cmpd="sng" algn="ctr">
          <a:solidFill>
            <a:srgbClr val="5B9BD5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Mill DE / NDE / Thrust bearing temperature high</a:t>
          </a:r>
        </a:p>
      </xdr:txBody>
    </xdr:sp>
    <xdr:clientData/>
  </xdr:twoCellAnchor>
  <xdr:twoCellAnchor>
    <xdr:from>
      <xdr:col>15</xdr:col>
      <xdr:colOff>287804</xdr:colOff>
      <xdr:row>17</xdr:row>
      <xdr:rowOff>73469</xdr:rowOff>
    </xdr:from>
    <xdr:to>
      <xdr:col>16</xdr:col>
      <xdr:colOff>41243</xdr:colOff>
      <xdr:row>23</xdr:row>
      <xdr:rowOff>142794</xdr:rowOff>
    </xdr:to>
    <xdr:cxnSp macro="">
      <xdr:nvCxnSpPr>
        <xdr:cNvPr id="268" name="Connector: Elbow 267">
          <a:extLst>
            <a:ext uri="{FF2B5EF4-FFF2-40B4-BE49-F238E27FC236}">
              <a16:creationId xmlns:a16="http://schemas.microsoft.com/office/drawing/2014/main" id="{1EAD200E-5148-4DA0-88D6-D28AEC64BED9}"/>
            </a:ext>
          </a:extLst>
        </xdr:cNvPr>
        <xdr:cNvCxnSpPr/>
      </xdr:nvCxnSpPr>
      <xdr:spPr>
        <a:xfrm rot="10800000" flipV="1">
          <a:off x="9431804" y="3204019"/>
          <a:ext cx="363039" cy="1174225"/>
        </a:xfrm>
        <a:prstGeom prst="bentConnector2">
          <a:avLst/>
        </a:prstGeom>
        <a:noFill/>
        <a:ln w="6350" cap="flat" cmpd="sng" algn="ctr">
          <a:solidFill>
            <a:srgbClr val="5B9BD5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19</xdr:col>
      <xdr:colOff>560808</xdr:colOff>
      <xdr:row>17</xdr:row>
      <xdr:rowOff>63913</xdr:rowOff>
    </xdr:from>
    <xdr:to>
      <xdr:col>28</xdr:col>
      <xdr:colOff>312265</xdr:colOff>
      <xdr:row>65</xdr:row>
      <xdr:rowOff>141056</xdr:rowOff>
    </xdr:to>
    <xdr:cxnSp macro="">
      <xdr:nvCxnSpPr>
        <xdr:cNvPr id="269" name="Connector: Elbow 268">
          <a:extLst>
            <a:ext uri="{FF2B5EF4-FFF2-40B4-BE49-F238E27FC236}">
              <a16:creationId xmlns:a16="http://schemas.microsoft.com/office/drawing/2014/main" id="{89BC7EC3-5491-4EC5-A9D5-D7E3AC9AC454}"/>
            </a:ext>
          </a:extLst>
        </xdr:cNvPr>
        <xdr:cNvCxnSpPr/>
      </xdr:nvCxnSpPr>
      <xdr:spPr>
        <a:xfrm rot="16200000" flipH="1">
          <a:off x="10303965" y="5033706"/>
          <a:ext cx="8916343" cy="5237857"/>
        </a:xfrm>
        <a:prstGeom prst="bentConnector3">
          <a:avLst>
            <a:gd name="adj1" fmla="val 32804"/>
          </a:avLst>
        </a:prstGeom>
        <a:noFill/>
        <a:ln w="6350" cap="flat" cmpd="sng" algn="ctr">
          <a:solidFill>
            <a:srgbClr val="5B9BD5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11</xdr:col>
      <xdr:colOff>565149</xdr:colOff>
      <xdr:row>32</xdr:row>
      <xdr:rowOff>155570</xdr:rowOff>
    </xdr:from>
    <xdr:to>
      <xdr:col>14</xdr:col>
      <xdr:colOff>140349</xdr:colOff>
      <xdr:row>36</xdr:row>
      <xdr:rowOff>40495</xdr:rowOff>
    </xdr:to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AE675FC9-F6C7-4CED-8579-A9F15908B520}"/>
            </a:ext>
          </a:extLst>
        </xdr:cNvPr>
        <xdr:cNvSpPr/>
      </xdr:nvSpPr>
      <xdr:spPr>
        <a:xfrm>
          <a:off x="7270749" y="6048370"/>
          <a:ext cx="1404000" cy="621525"/>
        </a:xfrm>
        <a:prstGeom prst="rect">
          <a:avLst/>
        </a:prstGeom>
        <a:solidFill>
          <a:srgbClr val="5B9BD5"/>
        </a:solidFill>
        <a:ln w="12700" cap="flat" cmpd="sng" algn="ctr">
          <a:solidFill>
            <a:srgbClr val="5B9BD5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Check oil quality or replace oil</a:t>
          </a:r>
        </a:p>
      </xdr:txBody>
    </xdr:sp>
    <xdr:clientData/>
  </xdr:twoCellAnchor>
  <xdr:twoCellAnchor>
    <xdr:from>
      <xdr:col>13</xdr:col>
      <xdr:colOff>393668</xdr:colOff>
      <xdr:row>23</xdr:row>
      <xdr:rowOff>171449</xdr:rowOff>
    </xdr:from>
    <xdr:to>
      <xdr:col>17</xdr:col>
      <xdr:colOff>226443</xdr:colOff>
      <xdr:row>28</xdr:row>
      <xdr:rowOff>173774</xdr:rowOff>
    </xdr:to>
    <xdr:sp macro="" textlink="">
      <xdr:nvSpPr>
        <xdr:cNvPr id="271" name="Flowchart: Decision 270">
          <a:extLst>
            <a:ext uri="{FF2B5EF4-FFF2-40B4-BE49-F238E27FC236}">
              <a16:creationId xmlns:a16="http://schemas.microsoft.com/office/drawing/2014/main" id="{DAFF6F3B-55B3-453B-91AC-EEB60766AE10}"/>
            </a:ext>
          </a:extLst>
        </xdr:cNvPr>
        <xdr:cNvSpPr/>
      </xdr:nvSpPr>
      <xdr:spPr>
        <a:xfrm>
          <a:off x="8318468" y="4406899"/>
          <a:ext cx="2271175" cy="923075"/>
        </a:xfrm>
        <a:prstGeom prst="flowChartDecision">
          <a:avLst/>
        </a:prstGeom>
        <a:solidFill>
          <a:srgbClr val="5B9BD5"/>
        </a:solidFill>
        <a:ln w="12700" cap="flat" cmpd="sng" algn="ctr">
          <a:solidFill>
            <a:srgbClr val="5B9BD5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Check Bearing Oil Temperature </a:t>
          </a:r>
          <a:endParaRPr kumimoji="0" lang="en-IN" sz="18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17929</xdr:colOff>
      <xdr:row>26</xdr:row>
      <xdr:rowOff>86169</xdr:rowOff>
    </xdr:from>
    <xdr:to>
      <xdr:col>13</xdr:col>
      <xdr:colOff>380968</xdr:colOff>
      <xdr:row>32</xdr:row>
      <xdr:rowOff>152319</xdr:rowOff>
    </xdr:to>
    <xdr:cxnSp macro="">
      <xdr:nvCxnSpPr>
        <xdr:cNvPr id="272" name="Connector: Elbow 271">
          <a:extLst>
            <a:ext uri="{FF2B5EF4-FFF2-40B4-BE49-F238E27FC236}">
              <a16:creationId xmlns:a16="http://schemas.microsoft.com/office/drawing/2014/main" id="{F6DB8D14-E691-4178-9946-B83D6F6A93D2}"/>
            </a:ext>
          </a:extLst>
        </xdr:cNvPr>
        <xdr:cNvCxnSpPr/>
      </xdr:nvCxnSpPr>
      <xdr:spPr>
        <a:xfrm rot="10800000" flipV="1">
          <a:off x="7942729" y="4874069"/>
          <a:ext cx="363039" cy="1171050"/>
        </a:xfrm>
        <a:prstGeom prst="bentConnector2">
          <a:avLst/>
        </a:prstGeom>
        <a:noFill/>
        <a:ln w="6350" cap="flat" cmpd="sng" algn="ctr">
          <a:solidFill>
            <a:srgbClr val="5B9BD5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17</xdr:col>
      <xdr:colOff>217903</xdr:colOff>
      <xdr:row>26</xdr:row>
      <xdr:rowOff>88041</xdr:rowOff>
    </xdr:from>
    <xdr:to>
      <xdr:col>17</xdr:col>
      <xdr:colOff>577903</xdr:colOff>
      <xdr:row>32</xdr:row>
      <xdr:rowOff>154191</xdr:rowOff>
    </xdr:to>
    <xdr:cxnSp macro="">
      <xdr:nvCxnSpPr>
        <xdr:cNvPr id="273" name="Connector: Elbow 272">
          <a:extLst>
            <a:ext uri="{FF2B5EF4-FFF2-40B4-BE49-F238E27FC236}">
              <a16:creationId xmlns:a16="http://schemas.microsoft.com/office/drawing/2014/main" id="{104FB81A-B6F5-48CC-970E-82D91E163FFA}"/>
            </a:ext>
          </a:extLst>
        </xdr:cNvPr>
        <xdr:cNvCxnSpPr/>
      </xdr:nvCxnSpPr>
      <xdr:spPr>
        <a:xfrm>
          <a:off x="10581103" y="4875941"/>
          <a:ext cx="360000" cy="1171050"/>
        </a:xfrm>
        <a:prstGeom prst="bentConnector2">
          <a:avLst/>
        </a:prstGeom>
        <a:noFill/>
        <a:ln w="6350" cap="flat" cmpd="sng" algn="ctr">
          <a:solidFill>
            <a:srgbClr val="5B9BD5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16</xdr:col>
      <xdr:colOff>294833</xdr:colOff>
      <xdr:row>32</xdr:row>
      <xdr:rowOff>155574</xdr:rowOff>
    </xdr:from>
    <xdr:to>
      <xdr:col>19</xdr:col>
      <xdr:colOff>255019</xdr:colOff>
      <xdr:row>37</xdr:row>
      <xdr:rowOff>151549</xdr:rowOff>
    </xdr:to>
    <xdr:sp macro="" textlink="">
      <xdr:nvSpPr>
        <xdr:cNvPr id="274" name="Flowchart: Decision 273">
          <a:extLst>
            <a:ext uri="{FF2B5EF4-FFF2-40B4-BE49-F238E27FC236}">
              <a16:creationId xmlns:a16="http://schemas.microsoft.com/office/drawing/2014/main" id="{986564A6-841F-48AF-9A98-49D9F52F97C3}"/>
            </a:ext>
          </a:extLst>
        </xdr:cNvPr>
        <xdr:cNvSpPr/>
      </xdr:nvSpPr>
      <xdr:spPr>
        <a:xfrm>
          <a:off x="10048433" y="6048374"/>
          <a:ext cx="1788986" cy="916725"/>
        </a:xfrm>
        <a:prstGeom prst="flowChartDecision">
          <a:avLst/>
        </a:prstGeom>
        <a:solidFill>
          <a:srgbClr val="5B9BD5"/>
        </a:solidFill>
        <a:ln w="12700" cap="flat" cmpd="sng" algn="ctr">
          <a:solidFill>
            <a:srgbClr val="5B9BD5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8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Check oil level</a:t>
          </a:r>
        </a:p>
      </xdr:txBody>
    </xdr:sp>
    <xdr:clientData/>
  </xdr:twoCellAnchor>
  <xdr:twoCellAnchor>
    <xdr:from>
      <xdr:col>15</xdr:col>
      <xdr:colOff>548441</xdr:colOff>
      <xdr:row>35</xdr:row>
      <xdr:rowOff>67119</xdr:rowOff>
    </xdr:from>
    <xdr:to>
      <xdr:col>16</xdr:col>
      <xdr:colOff>295530</xdr:colOff>
      <xdr:row>41</xdr:row>
      <xdr:rowOff>136444</xdr:rowOff>
    </xdr:to>
    <xdr:cxnSp macro="">
      <xdr:nvCxnSpPr>
        <xdr:cNvPr id="275" name="Connector: Elbow 274">
          <a:extLst>
            <a:ext uri="{FF2B5EF4-FFF2-40B4-BE49-F238E27FC236}">
              <a16:creationId xmlns:a16="http://schemas.microsoft.com/office/drawing/2014/main" id="{C4CA7A66-73C6-43E2-A1FA-2383E7F94FCC}"/>
            </a:ext>
          </a:extLst>
        </xdr:cNvPr>
        <xdr:cNvCxnSpPr/>
      </xdr:nvCxnSpPr>
      <xdr:spPr>
        <a:xfrm rot="10800000" flipV="1">
          <a:off x="9692441" y="6512369"/>
          <a:ext cx="356689" cy="1174225"/>
        </a:xfrm>
        <a:prstGeom prst="bentConnector2">
          <a:avLst/>
        </a:prstGeom>
        <a:noFill/>
        <a:ln w="6350" cap="flat" cmpd="sng" algn="ctr">
          <a:solidFill>
            <a:srgbClr val="5B9BD5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19</xdr:col>
      <xdr:colOff>257074</xdr:colOff>
      <xdr:row>35</xdr:row>
      <xdr:rowOff>65817</xdr:rowOff>
    </xdr:from>
    <xdr:to>
      <xdr:col>20</xdr:col>
      <xdr:colOff>4161</xdr:colOff>
      <xdr:row>41</xdr:row>
      <xdr:rowOff>135142</xdr:rowOff>
    </xdr:to>
    <xdr:cxnSp macro="">
      <xdr:nvCxnSpPr>
        <xdr:cNvPr id="276" name="Connector: Elbow 275">
          <a:extLst>
            <a:ext uri="{FF2B5EF4-FFF2-40B4-BE49-F238E27FC236}">
              <a16:creationId xmlns:a16="http://schemas.microsoft.com/office/drawing/2014/main" id="{4A5046A1-5239-4202-8017-F220355F94B6}"/>
            </a:ext>
          </a:extLst>
        </xdr:cNvPr>
        <xdr:cNvCxnSpPr/>
      </xdr:nvCxnSpPr>
      <xdr:spPr>
        <a:xfrm>
          <a:off x="11839474" y="6511067"/>
          <a:ext cx="356687" cy="1174225"/>
        </a:xfrm>
        <a:prstGeom prst="bentConnector2">
          <a:avLst/>
        </a:prstGeom>
        <a:noFill/>
        <a:ln w="6350" cap="flat" cmpd="sng" algn="ctr">
          <a:solidFill>
            <a:srgbClr val="5B9BD5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14</xdr:col>
      <xdr:colOff>460788</xdr:colOff>
      <xdr:row>41</xdr:row>
      <xdr:rowOff>147426</xdr:rowOff>
    </xdr:from>
    <xdr:to>
      <xdr:col>17</xdr:col>
      <xdr:colOff>35989</xdr:colOff>
      <xdr:row>45</xdr:row>
      <xdr:rowOff>32350</xdr:rowOff>
    </xdr:to>
    <xdr:sp macro="" textlink="">
      <xdr:nvSpPr>
        <xdr:cNvPr id="277" name="Rectangle 276">
          <a:extLst>
            <a:ext uri="{FF2B5EF4-FFF2-40B4-BE49-F238E27FC236}">
              <a16:creationId xmlns:a16="http://schemas.microsoft.com/office/drawing/2014/main" id="{361A7FF2-0F4F-457B-BBFF-865D70227E07}"/>
            </a:ext>
          </a:extLst>
        </xdr:cNvPr>
        <xdr:cNvSpPr/>
      </xdr:nvSpPr>
      <xdr:spPr>
        <a:xfrm>
          <a:off x="8995188" y="7697576"/>
          <a:ext cx="1404001" cy="621524"/>
        </a:xfrm>
        <a:prstGeom prst="rect">
          <a:avLst/>
        </a:prstGeom>
        <a:solidFill>
          <a:srgbClr val="5B9BD5"/>
        </a:solidFill>
        <a:ln w="12700" cap="flat" cmpd="sng" algn="ctr">
          <a:solidFill>
            <a:srgbClr val="5B9BD5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Top-up oil upto normal level</a:t>
          </a:r>
        </a:p>
      </xdr:txBody>
    </xdr:sp>
    <xdr:clientData/>
  </xdr:twoCellAnchor>
  <xdr:twoCellAnchor>
    <xdr:from>
      <xdr:col>21</xdr:col>
      <xdr:colOff>426012</xdr:colOff>
      <xdr:row>45</xdr:row>
      <xdr:rowOff>7975</xdr:rowOff>
    </xdr:from>
    <xdr:to>
      <xdr:col>24</xdr:col>
      <xdr:colOff>281048</xdr:colOff>
      <xdr:row>51</xdr:row>
      <xdr:rowOff>30671</xdr:rowOff>
    </xdr:to>
    <xdr:cxnSp macro="">
      <xdr:nvCxnSpPr>
        <xdr:cNvPr id="278" name="Connector: Elbow 277">
          <a:extLst>
            <a:ext uri="{FF2B5EF4-FFF2-40B4-BE49-F238E27FC236}">
              <a16:creationId xmlns:a16="http://schemas.microsoft.com/office/drawing/2014/main" id="{2EBB0C43-1C03-46F8-AA87-14CFAC9EE2BC}"/>
            </a:ext>
          </a:extLst>
        </xdr:cNvPr>
        <xdr:cNvCxnSpPr/>
      </xdr:nvCxnSpPr>
      <xdr:spPr>
        <a:xfrm>
          <a:off x="13227612" y="8294725"/>
          <a:ext cx="1683836" cy="1127596"/>
        </a:xfrm>
        <a:prstGeom prst="bentConnector2">
          <a:avLst/>
        </a:prstGeom>
        <a:noFill/>
        <a:ln w="6350" cap="flat" cmpd="sng" algn="ctr">
          <a:solidFill>
            <a:srgbClr val="5B9BD5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18</xdr:col>
      <xdr:colOff>238223</xdr:colOff>
      <xdr:row>41</xdr:row>
      <xdr:rowOff>145488</xdr:rowOff>
    </xdr:from>
    <xdr:to>
      <xdr:col>21</xdr:col>
      <xdr:colOff>428184</xdr:colOff>
      <xdr:row>48</xdr:row>
      <xdr:rowOff>87616</xdr:rowOff>
    </xdr:to>
    <xdr:sp macro="" textlink="">
      <xdr:nvSpPr>
        <xdr:cNvPr id="279" name="Flowchart: Decision 278">
          <a:extLst>
            <a:ext uri="{FF2B5EF4-FFF2-40B4-BE49-F238E27FC236}">
              <a16:creationId xmlns:a16="http://schemas.microsoft.com/office/drawing/2014/main" id="{179EC74D-AC42-43A2-977A-96344E994504}"/>
            </a:ext>
          </a:extLst>
        </xdr:cNvPr>
        <xdr:cNvSpPr/>
      </xdr:nvSpPr>
      <xdr:spPr>
        <a:xfrm>
          <a:off x="11211023" y="7695638"/>
          <a:ext cx="2018761" cy="1231178"/>
        </a:xfrm>
        <a:prstGeom prst="flowChartDecision">
          <a:avLst/>
        </a:prstGeom>
        <a:solidFill>
          <a:srgbClr val="5B9BD5"/>
        </a:solidFill>
        <a:ln w="12700" cap="flat" cmpd="sng" algn="ctr">
          <a:solidFill>
            <a:srgbClr val="5B9BD5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8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Check CCCW Cooling water flow</a:t>
          </a:r>
        </a:p>
      </xdr:txBody>
    </xdr:sp>
    <xdr:clientData/>
  </xdr:twoCellAnchor>
  <xdr:twoCellAnchor>
    <xdr:from>
      <xdr:col>17</xdr:col>
      <xdr:colOff>468928</xdr:colOff>
      <xdr:row>45</xdr:row>
      <xdr:rowOff>6104</xdr:rowOff>
    </xdr:from>
    <xdr:to>
      <xdr:col>18</xdr:col>
      <xdr:colOff>216017</xdr:colOff>
      <xdr:row>51</xdr:row>
      <xdr:rowOff>78604</xdr:rowOff>
    </xdr:to>
    <xdr:cxnSp macro="">
      <xdr:nvCxnSpPr>
        <xdr:cNvPr id="280" name="Connector: Elbow 279">
          <a:extLst>
            <a:ext uri="{FF2B5EF4-FFF2-40B4-BE49-F238E27FC236}">
              <a16:creationId xmlns:a16="http://schemas.microsoft.com/office/drawing/2014/main" id="{C4309B8C-29A3-4720-A81A-EFCD46CDB6D7}"/>
            </a:ext>
          </a:extLst>
        </xdr:cNvPr>
        <xdr:cNvCxnSpPr/>
      </xdr:nvCxnSpPr>
      <xdr:spPr>
        <a:xfrm rot="10800000" flipV="1">
          <a:off x="10832128" y="8292854"/>
          <a:ext cx="356689" cy="1177400"/>
        </a:xfrm>
        <a:prstGeom prst="bentConnector2">
          <a:avLst/>
        </a:prstGeom>
        <a:noFill/>
        <a:ln w="6350" cap="flat" cmpd="sng" algn="ctr">
          <a:solidFill>
            <a:srgbClr val="5B9BD5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15</xdr:col>
      <xdr:colOff>455500</xdr:colOff>
      <xdr:row>51</xdr:row>
      <xdr:rowOff>77986</xdr:rowOff>
    </xdr:from>
    <xdr:to>
      <xdr:col>19</xdr:col>
      <xdr:colOff>451848</xdr:colOff>
      <xdr:row>58</xdr:row>
      <xdr:rowOff>134464</xdr:rowOff>
    </xdr:to>
    <xdr:sp macro="" textlink="">
      <xdr:nvSpPr>
        <xdr:cNvPr id="281" name="Flowchart: Decision 280">
          <a:extLst>
            <a:ext uri="{FF2B5EF4-FFF2-40B4-BE49-F238E27FC236}">
              <a16:creationId xmlns:a16="http://schemas.microsoft.com/office/drawing/2014/main" id="{B2D1200C-400D-4B6F-AEAC-733DC48ED30C}"/>
            </a:ext>
          </a:extLst>
        </xdr:cNvPr>
        <xdr:cNvSpPr/>
      </xdr:nvSpPr>
      <xdr:spPr>
        <a:xfrm>
          <a:off x="9599500" y="9469636"/>
          <a:ext cx="2434748" cy="1345528"/>
        </a:xfrm>
        <a:prstGeom prst="flowChartDecision">
          <a:avLst/>
        </a:prstGeom>
        <a:solidFill>
          <a:srgbClr val="5B9BD5"/>
        </a:solidFill>
        <a:ln w="12700" cap="flat" cmpd="sng" algn="ctr">
          <a:solidFill>
            <a:srgbClr val="5B9BD5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8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Check cooler inlet outlet manual valve</a:t>
          </a:r>
        </a:p>
      </xdr:txBody>
    </xdr:sp>
    <xdr:clientData/>
  </xdr:twoCellAnchor>
  <xdr:twoCellAnchor>
    <xdr:from>
      <xdr:col>18</xdr:col>
      <xdr:colOff>574221</xdr:colOff>
      <xdr:row>59</xdr:row>
      <xdr:rowOff>11178</xdr:rowOff>
    </xdr:from>
    <xdr:to>
      <xdr:col>21</xdr:col>
      <xdr:colOff>150013</xdr:colOff>
      <xdr:row>62</xdr:row>
      <xdr:rowOff>78321</xdr:rowOff>
    </xdr:to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996DA254-6BF3-4294-8300-AEB3B26FBBF5}"/>
            </a:ext>
          </a:extLst>
        </xdr:cNvPr>
        <xdr:cNvSpPr/>
      </xdr:nvSpPr>
      <xdr:spPr>
        <a:xfrm>
          <a:off x="11547021" y="10876028"/>
          <a:ext cx="1404592" cy="619593"/>
        </a:xfrm>
        <a:prstGeom prst="rect">
          <a:avLst/>
        </a:prstGeom>
        <a:solidFill>
          <a:srgbClr val="5B9BD5"/>
        </a:solidFill>
        <a:ln w="12700" cap="flat" cmpd="sng" algn="ctr">
          <a:solidFill>
            <a:srgbClr val="5B9BD5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Open the valves and establish flow through cooler</a:t>
          </a:r>
          <a:endParaRPr kumimoji="0" lang="en-IN" sz="18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IN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609475</xdr:colOff>
      <xdr:row>55</xdr:row>
      <xdr:rowOff>6559</xdr:rowOff>
    </xdr:from>
    <xdr:to>
      <xdr:col>15</xdr:col>
      <xdr:colOff>427649</xdr:colOff>
      <xdr:row>56</xdr:row>
      <xdr:rowOff>37167</xdr:rowOff>
    </xdr:to>
    <xdr:cxnSp macro="">
      <xdr:nvCxnSpPr>
        <xdr:cNvPr id="283" name="Connector: Elbow 282">
          <a:extLst>
            <a:ext uri="{FF2B5EF4-FFF2-40B4-BE49-F238E27FC236}">
              <a16:creationId xmlns:a16="http://schemas.microsoft.com/office/drawing/2014/main" id="{61251BD0-0B6D-493A-BBA9-CDE8E9A49001}"/>
            </a:ext>
          </a:extLst>
        </xdr:cNvPr>
        <xdr:cNvCxnSpPr/>
      </xdr:nvCxnSpPr>
      <xdr:spPr>
        <a:xfrm rot="10800000" flipV="1">
          <a:off x="8534275" y="10134809"/>
          <a:ext cx="1037374" cy="214758"/>
        </a:xfrm>
        <a:prstGeom prst="bentConnector2">
          <a:avLst/>
        </a:prstGeom>
        <a:noFill/>
        <a:ln w="6350" cap="flat" cmpd="sng" algn="ctr">
          <a:solidFill>
            <a:srgbClr val="5B9BD5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13</xdr:col>
      <xdr:colOff>169790</xdr:colOff>
      <xdr:row>56</xdr:row>
      <xdr:rowOff>28988</xdr:rowOff>
    </xdr:from>
    <xdr:to>
      <xdr:col>14</xdr:col>
      <xdr:colOff>474590</xdr:colOff>
      <xdr:row>61</xdr:row>
      <xdr:rowOff>133355</xdr:rowOff>
    </xdr:to>
    <xdr:sp macro="" textlink="">
      <xdr:nvSpPr>
        <xdr:cNvPr id="284" name="Flowchart: Document 283">
          <a:extLst>
            <a:ext uri="{FF2B5EF4-FFF2-40B4-BE49-F238E27FC236}">
              <a16:creationId xmlns:a16="http://schemas.microsoft.com/office/drawing/2014/main" id="{967C109B-6CC4-4FFF-B173-1BB65DEA5F40}"/>
            </a:ext>
          </a:extLst>
        </xdr:cNvPr>
        <xdr:cNvSpPr/>
      </xdr:nvSpPr>
      <xdr:spPr>
        <a:xfrm>
          <a:off x="8094590" y="10341388"/>
          <a:ext cx="914400" cy="1025117"/>
        </a:xfrm>
        <a:prstGeom prst="flowChartDocument">
          <a:avLst/>
        </a:prstGeom>
        <a:solidFill>
          <a:srgbClr val="5B9BD5"/>
        </a:solidFill>
        <a:ln w="12700" cap="flat" cmpd="sng" algn="ctr">
          <a:solidFill>
            <a:srgbClr val="5B9BD5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Check CCCW water pump</a:t>
          </a:r>
        </a:p>
      </xdr:txBody>
    </xdr:sp>
    <xdr:clientData/>
  </xdr:twoCellAnchor>
  <xdr:twoCellAnchor>
    <xdr:from>
      <xdr:col>19</xdr:col>
      <xdr:colOff>464410</xdr:colOff>
      <xdr:row>55</xdr:row>
      <xdr:rowOff>11289</xdr:rowOff>
    </xdr:from>
    <xdr:to>
      <xdr:col>20</xdr:col>
      <xdr:colOff>32088</xdr:colOff>
      <xdr:row>59</xdr:row>
      <xdr:rowOff>2420</xdr:rowOff>
    </xdr:to>
    <xdr:cxnSp macro="">
      <xdr:nvCxnSpPr>
        <xdr:cNvPr id="285" name="Connector: Elbow 284">
          <a:extLst>
            <a:ext uri="{FF2B5EF4-FFF2-40B4-BE49-F238E27FC236}">
              <a16:creationId xmlns:a16="http://schemas.microsoft.com/office/drawing/2014/main" id="{318DD53E-9E70-4BFB-98C6-AF46F1D77D6D}"/>
            </a:ext>
          </a:extLst>
        </xdr:cNvPr>
        <xdr:cNvCxnSpPr/>
      </xdr:nvCxnSpPr>
      <xdr:spPr>
        <a:xfrm>
          <a:off x="12046810" y="10139539"/>
          <a:ext cx="177278" cy="727731"/>
        </a:xfrm>
        <a:prstGeom prst="bentConnector2">
          <a:avLst/>
        </a:prstGeom>
        <a:noFill/>
        <a:ln w="6350" cap="flat" cmpd="sng" algn="ctr">
          <a:solidFill>
            <a:srgbClr val="5B9BD5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25</xdr:col>
      <xdr:colOff>259444</xdr:colOff>
      <xdr:row>58</xdr:row>
      <xdr:rowOff>82684</xdr:rowOff>
    </xdr:from>
    <xdr:to>
      <xdr:col>27</xdr:col>
      <xdr:colOff>460257</xdr:colOff>
      <xdr:row>61</xdr:row>
      <xdr:rowOff>153002</xdr:rowOff>
    </xdr:to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B29A89D9-BF2D-4944-8849-C11695653612}"/>
            </a:ext>
          </a:extLst>
        </xdr:cNvPr>
        <xdr:cNvSpPr/>
      </xdr:nvSpPr>
      <xdr:spPr>
        <a:xfrm>
          <a:off x="15499444" y="10763384"/>
          <a:ext cx="1420013" cy="622768"/>
        </a:xfrm>
        <a:prstGeom prst="rect">
          <a:avLst/>
        </a:prstGeom>
        <a:solidFill>
          <a:srgbClr val="5B9BD5"/>
        </a:solidFill>
        <a:ln w="12700" cap="flat" cmpd="sng" algn="ctr">
          <a:solidFill>
            <a:srgbClr val="5B9BD5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Perform vibration analysis of lube oil pump</a:t>
          </a:r>
          <a:endParaRPr kumimoji="0" lang="en-IN" sz="18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IN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506741</xdr:colOff>
      <xdr:row>51</xdr:row>
      <xdr:rowOff>21387</xdr:rowOff>
    </xdr:from>
    <xdr:to>
      <xdr:col>26</xdr:col>
      <xdr:colOff>87555</xdr:colOff>
      <xdr:row>57</xdr:row>
      <xdr:rowOff>145733</xdr:rowOff>
    </xdr:to>
    <xdr:sp macro="" textlink="">
      <xdr:nvSpPr>
        <xdr:cNvPr id="287" name="Flowchart: Decision 286">
          <a:extLst>
            <a:ext uri="{FF2B5EF4-FFF2-40B4-BE49-F238E27FC236}">
              <a16:creationId xmlns:a16="http://schemas.microsoft.com/office/drawing/2014/main" id="{6BD35690-C125-473B-815C-7278681DF299}"/>
            </a:ext>
          </a:extLst>
        </xdr:cNvPr>
        <xdr:cNvSpPr/>
      </xdr:nvSpPr>
      <xdr:spPr>
        <a:xfrm>
          <a:off x="13917941" y="9413037"/>
          <a:ext cx="2019214" cy="1229246"/>
        </a:xfrm>
        <a:prstGeom prst="flowChartDecision">
          <a:avLst/>
        </a:prstGeom>
        <a:solidFill>
          <a:srgbClr val="5B9BD5"/>
        </a:solidFill>
        <a:ln w="12700" cap="flat" cmpd="sng" algn="ctr">
          <a:solidFill>
            <a:srgbClr val="5B9BD5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8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Check Lube oil pressure</a:t>
          </a:r>
        </a:p>
      </xdr:txBody>
    </xdr:sp>
    <xdr:clientData/>
  </xdr:twoCellAnchor>
  <xdr:twoCellAnchor>
    <xdr:from>
      <xdr:col>22</xdr:col>
      <xdr:colOff>176405</xdr:colOff>
      <xdr:row>54</xdr:row>
      <xdr:rowOff>88378</xdr:rowOff>
    </xdr:from>
    <xdr:to>
      <xdr:col>22</xdr:col>
      <xdr:colOff>478180</xdr:colOff>
      <xdr:row>60</xdr:row>
      <xdr:rowOff>145003</xdr:rowOff>
    </xdr:to>
    <xdr:cxnSp macro="">
      <xdr:nvCxnSpPr>
        <xdr:cNvPr id="288" name="Connector: Elbow 287">
          <a:extLst>
            <a:ext uri="{FF2B5EF4-FFF2-40B4-BE49-F238E27FC236}">
              <a16:creationId xmlns:a16="http://schemas.microsoft.com/office/drawing/2014/main" id="{3EED9353-3D2C-44CD-A069-4CE8E5108EC8}"/>
            </a:ext>
          </a:extLst>
        </xdr:cNvPr>
        <xdr:cNvCxnSpPr/>
      </xdr:nvCxnSpPr>
      <xdr:spPr>
        <a:xfrm rot="10800000" flipV="1">
          <a:off x="13587605" y="10032478"/>
          <a:ext cx="301775" cy="1161525"/>
        </a:xfrm>
        <a:prstGeom prst="bentConnector2">
          <a:avLst/>
        </a:prstGeom>
        <a:noFill/>
        <a:ln w="6350" cap="flat" cmpd="sng" algn="ctr">
          <a:solidFill>
            <a:srgbClr val="5B9BD5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26</xdr:col>
      <xdr:colOff>97215</xdr:colOff>
      <xdr:row>54</xdr:row>
      <xdr:rowOff>87214</xdr:rowOff>
    </xdr:from>
    <xdr:to>
      <xdr:col>26</xdr:col>
      <xdr:colOff>277215</xdr:colOff>
      <xdr:row>58</xdr:row>
      <xdr:rowOff>65644</xdr:rowOff>
    </xdr:to>
    <xdr:cxnSp macro="">
      <xdr:nvCxnSpPr>
        <xdr:cNvPr id="289" name="Connector: Elbow 288">
          <a:extLst>
            <a:ext uri="{FF2B5EF4-FFF2-40B4-BE49-F238E27FC236}">
              <a16:creationId xmlns:a16="http://schemas.microsoft.com/office/drawing/2014/main" id="{8F97C952-800F-41C6-A0B4-D6A3BF93DB88}"/>
            </a:ext>
          </a:extLst>
        </xdr:cNvPr>
        <xdr:cNvCxnSpPr/>
      </xdr:nvCxnSpPr>
      <xdr:spPr>
        <a:xfrm>
          <a:off x="15946815" y="10031314"/>
          <a:ext cx="180000" cy="715030"/>
        </a:xfrm>
        <a:prstGeom prst="bentConnector2">
          <a:avLst/>
        </a:prstGeom>
        <a:noFill/>
        <a:ln w="6350" cap="flat" cmpd="sng" algn="ctr">
          <a:solidFill>
            <a:srgbClr val="5B9BD5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21</xdr:col>
      <xdr:colOff>224260</xdr:colOff>
      <xdr:row>60</xdr:row>
      <xdr:rowOff>159515</xdr:rowOff>
    </xdr:from>
    <xdr:to>
      <xdr:col>23</xdr:col>
      <xdr:colOff>405431</xdr:colOff>
      <xdr:row>64</xdr:row>
      <xdr:rowOff>60315</xdr:rowOff>
    </xdr:to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9DF1AEEB-3A33-4847-8FA6-80EE2594DB53}"/>
            </a:ext>
          </a:extLst>
        </xdr:cNvPr>
        <xdr:cNvSpPr/>
      </xdr:nvSpPr>
      <xdr:spPr>
        <a:xfrm>
          <a:off x="13025860" y="11208515"/>
          <a:ext cx="1400371" cy="637400"/>
        </a:xfrm>
        <a:prstGeom prst="rect">
          <a:avLst/>
        </a:prstGeom>
        <a:solidFill>
          <a:srgbClr val="5B9BD5"/>
        </a:solidFill>
        <a:ln w="12700" cap="flat" cmpd="sng" algn="ctr">
          <a:solidFill>
            <a:srgbClr val="5B9BD5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t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Inspect bearings</a:t>
          </a:r>
        </a:p>
      </xdr:txBody>
    </xdr:sp>
    <xdr:clientData/>
  </xdr:twoCellAnchor>
  <xdr:twoCellAnchor>
    <xdr:from>
      <xdr:col>23</xdr:col>
      <xdr:colOff>188325</xdr:colOff>
      <xdr:row>20</xdr:row>
      <xdr:rowOff>107396</xdr:rowOff>
    </xdr:from>
    <xdr:to>
      <xdr:col>25</xdr:col>
      <xdr:colOff>397933</xdr:colOff>
      <xdr:row>24</xdr:row>
      <xdr:rowOff>31496</xdr:rowOff>
    </xdr:to>
    <xdr:sp macro="" textlink="">
      <xdr:nvSpPr>
        <xdr:cNvPr id="291" name="Rectangle 290">
          <a:extLst>
            <a:ext uri="{FF2B5EF4-FFF2-40B4-BE49-F238E27FC236}">
              <a16:creationId xmlns:a16="http://schemas.microsoft.com/office/drawing/2014/main" id="{DDAD7982-7D43-4159-97C5-4EE85B2690C6}"/>
            </a:ext>
          </a:extLst>
        </xdr:cNvPr>
        <xdr:cNvSpPr/>
      </xdr:nvSpPr>
      <xdr:spPr>
        <a:xfrm>
          <a:off x="14209125" y="3790396"/>
          <a:ext cx="1428808" cy="660700"/>
        </a:xfrm>
        <a:prstGeom prst="rect">
          <a:avLst/>
        </a:prstGeom>
        <a:solidFill>
          <a:srgbClr val="5B9BD5"/>
        </a:solidFill>
        <a:ln w="12700" cap="flat" cmpd="sng" algn="ctr">
          <a:solidFill>
            <a:srgbClr val="5B9BD5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Carry out Maintenance  of Feeder</a:t>
          </a:r>
        </a:p>
      </xdr:txBody>
    </xdr:sp>
    <xdr:clientData/>
  </xdr:twoCellAnchor>
  <xdr:twoCellAnchor>
    <xdr:from>
      <xdr:col>28</xdr:col>
      <xdr:colOff>259770</xdr:colOff>
      <xdr:row>16</xdr:row>
      <xdr:rowOff>7974</xdr:rowOff>
    </xdr:from>
    <xdr:to>
      <xdr:col>30</xdr:col>
      <xdr:colOff>1</xdr:colOff>
      <xdr:row>65</xdr:row>
      <xdr:rowOff>54427</xdr:rowOff>
    </xdr:to>
    <xdr:cxnSp macro="">
      <xdr:nvCxnSpPr>
        <xdr:cNvPr id="292" name="Connector: Elbow 291">
          <a:extLst>
            <a:ext uri="{FF2B5EF4-FFF2-40B4-BE49-F238E27FC236}">
              <a16:creationId xmlns:a16="http://schemas.microsoft.com/office/drawing/2014/main" id="{6691129A-7C06-404F-A9F9-ADD6532409FA}"/>
            </a:ext>
          </a:extLst>
        </xdr:cNvPr>
        <xdr:cNvCxnSpPr/>
      </xdr:nvCxnSpPr>
      <xdr:spPr>
        <a:xfrm rot="16200000" flipH="1">
          <a:off x="13397209" y="6885735"/>
          <a:ext cx="9069803" cy="1207081"/>
        </a:xfrm>
        <a:prstGeom prst="bentConnector3">
          <a:avLst>
            <a:gd name="adj1" fmla="val 14"/>
          </a:avLst>
        </a:prstGeom>
        <a:noFill/>
        <a:ln w="6350" cap="flat" cmpd="sng" algn="ctr">
          <a:solidFill>
            <a:srgbClr val="5B9BD5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20</xdr:col>
      <xdr:colOff>607742</xdr:colOff>
      <xdr:row>10</xdr:row>
      <xdr:rowOff>6534</xdr:rowOff>
    </xdr:from>
    <xdr:to>
      <xdr:col>35</xdr:col>
      <xdr:colOff>609992</xdr:colOff>
      <xdr:row>13</xdr:row>
      <xdr:rowOff>106501</xdr:rowOff>
    </xdr:to>
    <xdr:cxnSp macro="">
      <xdr:nvCxnSpPr>
        <xdr:cNvPr id="293" name="Connector: Elbow 292">
          <a:extLst>
            <a:ext uri="{FF2B5EF4-FFF2-40B4-BE49-F238E27FC236}">
              <a16:creationId xmlns:a16="http://schemas.microsoft.com/office/drawing/2014/main" id="{0B7FC398-7DD1-4DB4-B229-13A50BAB79B8}"/>
            </a:ext>
          </a:extLst>
        </xdr:cNvPr>
        <xdr:cNvCxnSpPr/>
      </xdr:nvCxnSpPr>
      <xdr:spPr>
        <a:xfrm rot="16200000" flipH="1">
          <a:off x="17170483" y="-2522707"/>
          <a:ext cx="652417" cy="9393900"/>
        </a:xfrm>
        <a:prstGeom prst="bentConnector3">
          <a:avLst>
            <a:gd name="adj1" fmla="val 45874"/>
          </a:avLst>
        </a:prstGeom>
        <a:noFill/>
        <a:ln w="6350" cap="flat" cmpd="sng" algn="ctr">
          <a:solidFill>
            <a:srgbClr val="5B9BD5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34</xdr:col>
      <xdr:colOff>226664</xdr:colOff>
      <xdr:row>13</xdr:row>
      <xdr:rowOff>107121</xdr:rowOff>
    </xdr:from>
    <xdr:to>
      <xdr:col>37</xdr:col>
      <xdr:colOff>460465</xdr:colOff>
      <xdr:row>18</xdr:row>
      <xdr:rowOff>105421</xdr:rowOff>
    </xdr:to>
    <xdr:sp macro="" textlink="">
      <xdr:nvSpPr>
        <xdr:cNvPr id="294" name="Flowchart: Decision 293">
          <a:extLst>
            <a:ext uri="{FF2B5EF4-FFF2-40B4-BE49-F238E27FC236}">
              <a16:creationId xmlns:a16="http://schemas.microsoft.com/office/drawing/2014/main" id="{8A1FB28D-EDE8-4A19-A56A-2D13F921AE9A}"/>
            </a:ext>
          </a:extLst>
        </xdr:cNvPr>
        <xdr:cNvSpPr/>
      </xdr:nvSpPr>
      <xdr:spPr>
        <a:xfrm>
          <a:off x="21200714" y="2501071"/>
          <a:ext cx="2062601" cy="919050"/>
        </a:xfrm>
        <a:prstGeom prst="flowChartDecision">
          <a:avLst/>
        </a:prstGeom>
        <a:solidFill>
          <a:srgbClr val="5B9BD5"/>
        </a:solidFill>
        <a:ln w="12700" cap="flat" cmpd="sng" algn="ctr">
          <a:solidFill>
            <a:srgbClr val="5B9BD5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Mill  to Seal air Bowl DP Low</a:t>
          </a:r>
        </a:p>
      </xdr:txBody>
    </xdr:sp>
    <xdr:clientData/>
  </xdr:twoCellAnchor>
  <xdr:twoCellAnchor>
    <xdr:from>
      <xdr:col>33</xdr:col>
      <xdr:colOff>498865</xdr:colOff>
      <xdr:row>16</xdr:row>
      <xdr:rowOff>6603</xdr:rowOff>
    </xdr:from>
    <xdr:to>
      <xdr:col>34</xdr:col>
      <xdr:colOff>226665</xdr:colOff>
      <xdr:row>20</xdr:row>
      <xdr:rowOff>122996</xdr:rowOff>
    </xdr:to>
    <xdr:cxnSp macro="">
      <xdr:nvCxnSpPr>
        <xdr:cNvPr id="295" name="Connector: Elbow 294">
          <a:extLst>
            <a:ext uri="{FF2B5EF4-FFF2-40B4-BE49-F238E27FC236}">
              <a16:creationId xmlns:a16="http://schemas.microsoft.com/office/drawing/2014/main" id="{1A498525-E518-4D35-8A34-A7F4EDBE7FB6}"/>
            </a:ext>
          </a:extLst>
        </xdr:cNvPr>
        <xdr:cNvCxnSpPr>
          <a:stCxn id="294" idx="1"/>
        </xdr:cNvCxnSpPr>
      </xdr:nvCxnSpPr>
      <xdr:spPr>
        <a:xfrm rot="10800000" flipV="1">
          <a:off x="20863315" y="2953003"/>
          <a:ext cx="337400" cy="852993"/>
        </a:xfrm>
        <a:prstGeom prst="bentConnector2">
          <a:avLst/>
        </a:prstGeom>
        <a:noFill/>
        <a:ln w="6350" cap="flat" cmpd="sng" algn="ctr">
          <a:solidFill>
            <a:srgbClr val="5B9BD5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30</xdr:col>
      <xdr:colOff>226091</xdr:colOff>
      <xdr:row>28</xdr:row>
      <xdr:rowOff>135695</xdr:rowOff>
    </xdr:from>
    <xdr:to>
      <xdr:col>32</xdr:col>
      <xdr:colOff>416649</xdr:colOff>
      <xdr:row>32</xdr:row>
      <xdr:rowOff>47095</xdr:rowOff>
    </xdr:to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291BA9FA-C476-4DD3-8AEB-A8929E343D36}"/>
            </a:ext>
          </a:extLst>
        </xdr:cNvPr>
        <xdr:cNvSpPr/>
      </xdr:nvSpPr>
      <xdr:spPr>
        <a:xfrm>
          <a:off x="18761741" y="5291895"/>
          <a:ext cx="1409758" cy="648000"/>
        </a:xfrm>
        <a:prstGeom prst="rect">
          <a:avLst/>
        </a:prstGeom>
        <a:solidFill>
          <a:srgbClr val="5B9BD5"/>
        </a:solidFill>
        <a:ln w="12700" cap="flat" cmpd="sng" algn="ctr">
          <a:solidFill>
            <a:srgbClr val="5B9BD5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Open seal air to Mill damper</a:t>
          </a:r>
        </a:p>
      </xdr:txBody>
    </xdr:sp>
    <xdr:clientData/>
  </xdr:twoCellAnchor>
  <xdr:twoCellAnchor>
    <xdr:from>
      <xdr:col>37</xdr:col>
      <xdr:colOff>469161</xdr:colOff>
      <xdr:row>16</xdr:row>
      <xdr:rowOff>8114</xdr:rowOff>
    </xdr:from>
    <xdr:to>
      <xdr:col>37</xdr:col>
      <xdr:colOff>501422</xdr:colOff>
      <xdr:row>65</xdr:row>
      <xdr:rowOff>28574</xdr:rowOff>
    </xdr:to>
    <xdr:cxnSp macro="">
      <xdr:nvCxnSpPr>
        <xdr:cNvPr id="297" name="Connector: Elbow 296">
          <a:extLst>
            <a:ext uri="{FF2B5EF4-FFF2-40B4-BE49-F238E27FC236}">
              <a16:creationId xmlns:a16="http://schemas.microsoft.com/office/drawing/2014/main" id="{6B0E48F4-88DD-4792-BE15-2510386B9F40}"/>
            </a:ext>
          </a:extLst>
        </xdr:cNvPr>
        <xdr:cNvCxnSpPr>
          <a:endCxn id="309" idx="0"/>
        </xdr:cNvCxnSpPr>
      </xdr:nvCxnSpPr>
      <xdr:spPr>
        <a:xfrm rot="16200000" flipH="1">
          <a:off x="18766237" y="7460288"/>
          <a:ext cx="9043810" cy="32261"/>
        </a:xfrm>
        <a:prstGeom prst="bentConnector3">
          <a:avLst>
            <a:gd name="adj1" fmla="val 53492"/>
          </a:avLst>
        </a:prstGeom>
        <a:noFill/>
        <a:ln w="6350" cap="flat" cmpd="sng" algn="ctr">
          <a:solidFill>
            <a:srgbClr val="5B9BD5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32</xdr:col>
      <xdr:colOff>53105</xdr:colOff>
      <xdr:row>20</xdr:row>
      <xdr:rowOff>135136</xdr:rowOff>
    </xdr:from>
    <xdr:to>
      <xdr:col>35</xdr:col>
      <xdr:colOff>308754</xdr:colOff>
      <xdr:row>27</xdr:row>
      <xdr:rowOff>92311</xdr:rowOff>
    </xdr:to>
    <xdr:sp macro="" textlink="">
      <xdr:nvSpPr>
        <xdr:cNvPr id="298" name="Flowchart: Decision 297">
          <a:extLst>
            <a:ext uri="{FF2B5EF4-FFF2-40B4-BE49-F238E27FC236}">
              <a16:creationId xmlns:a16="http://schemas.microsoft.com/office/drawing/2014/main" id="{1209ED6B-6509-4DC4-A0DF-521BEDE56CE8}"/>
            </a:ext>
          </a:extLst>
        </xdr:cNvPr>
        <xdr:cNvSpPr/>
      </xdr:nvSpPr>
      <xdr:spPr>
        <a:xfrm>
          <a:off x="19807955" y="3818136"/>
          <a:ext cx="2084449" cy="1246225"/>
        </a:xfrm>
        <a:prstGeom prst="flowChartDecision">
          <a:avLst/>
        </a:prstGeom>
        <a:solidFill>
          <a:srgbClr val="5B9BD5"/>
        </a:solidFill>
        <a:ln w="12700" cap="flat" cmpd="sng" algn="ctr">
          <a:solidFill>
            <a:srgbClr val="5B9BD5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Check Seal Air damper close position</a:t>
          </a:r>
        </a:p>
      </xdr:txBody>
    </xdr:sp>
    <xdr:clientData/>
  </xdr:twoCellAnchor>
  <xdr:twoCellAnchor>
    <xdr:from>
      <xdr:col>31</xdr:col>
      <xdr:colOff>300359</xdr:colOff>
      <xdr:row>24</xdr:row>
      <xdr:rowOff>28414</xdr:rowOff>
    </xdr:from>
    <xdr:to>
      <xdr:col>32</xdr:col>
      <xdr:colOff>41234</xdr:colOff>
      <xdr:row>28</xdr:row>
      <xdr:rowOff>141632</xdr:rowOff>
    </xdr:to>
    <xdr:cxnSp macro="">
      <xdr:nvCxnSpPr>
        <xdr:cNvPr id="299" name="Connector: Elbow 298">
          <a:extLst>
            <a:ext uri="{FF2B5EF4-FFF2-40B4-BE49-F238E27FC236}">
              <a16:creationId xmlns:a16="http://schemas.microsoft.com/office/drawing/2014/main" id="{7417A4E3-4372-4188-90FF-468637FF5CD3}"/>
            </a:ext>
          </a:extLst>
        </xdr:cNvPr>
        <xdr:cNvCxnSpPr/>
      </xdr:nvCxnSpPr>
      <xdr:spPr>
        <a:xfrm rot="10800000" flipV="1">
          <a:off x="19445609" y="4448014"/>
          <a:ext cx="350475" cy="849818"/>
        </a:xfrm>
        <a:prstGeom prst="bentConnector2">
          <a:avLst/>
        </a:prstGeom>
        <a:noFill/>
        <a:ln w="6350" cap="flat" cmpd="sng" algn="ctr">
          <a:solidFill>
            <a:srgbClr val="5B9BD5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35</xdr:col>
      <xdr:colOff>245116</xdr:colOff>
      <xdr:row>24</xdr:row>
      <xdr:rowOff>18467</xdr:rowOff>
    </xdr:from>
    <xdr:to>
      <xdr:col>36</xdr:col>
      <xdr:colOff>11845</xdr:colOff>
      <xdr:row>30</xdr:row>
      <xdr:rowOff>94142</xdr:rowOff>
    </xdr:to>
    <xdr:cxnSp macro="">
      <xdr:nvCxnSpPr>
        <xdr:cNvPr id="300" name="Connector: Elbow 299">
          <a:extLst>
            <a:ext uri="{FF2B5EF4-FFF2-40B4-BE49-F238E27FC236}">
              <a16:creationId xmlns:a16="http://schemas.microsoft.com/office/drawing/2014/main" id="{F7CC1F6B-382D-42C0-A6A3-62B400A1E30A}"/>
            </a:ext>
          </a:extLst>
        </xdr:cNvPr>
        <xdr:cNvCxnSpPr/>
      </xdr:nvCxnSpPr>
      <xdr:spPr>
        <a:xfrm>
          <a:off x="21828766" y="4438067"/>
          <a:ext cx="376329" cy="1180575"/>
        </a:xfrm>
        <a:prstGeom prst="bentConnector2">
          <a:avLst/>
        </a:prstGeom>
        <a:noFill/>
        <a:ln w="6350" cap="flat" cmpd="sng" algn="ctr">
          <a:solidFill>
            <a:srgbClr val="5B9BD5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35</xdr:col>
      <xdr:colOff>186811</xdr:colOff>
      <xdr:row>30</xdr:row>
      <xdr:rowOff>96846</xdr:rowOff>
    </xdr:from>
    <xdr:to>
      <xdr:col>36</xdr:col>
      <xdr:colOff>491611</xdr:colOff>
      <xdr:row>36</xdr:row>
      <xdr:rowOff>22170</xdr:rowOff>
    </xdr:to>
    <xdr:sp macro="" textlink="">
      <xdr:nvSpPr>
        <xdr:cNvPr id="301" name="Flowchart: Document 300">
          <a:extLst>
            <a:ext uri="{FF2B5EF4-FFF2-40B4-BE49-F238E27FC236}">
              <a16:creationId xmlns:a16="http://schemas.microsoft.com/office/drawing/2014/main" id="{358A3A58-C807-4255-8D1E-651F252F841B}"/>
            </a:ext>
          </a:extLst>
        </xdr:cNvPr>
        <xdr:cNvSpPr/>
      </xdr:nvSpPr>
      <xdr:spPr>
        <a:xfrm>
          <a:off x="21770461" y="5621346"/>
          <a:ext cx="914400" cy="1030224"/>
        </a:xfrm>
        <a:prstGeom prst="flowChartDocument">
          <a:avLst/>
        </a:prstGeom>
        <a:solidFill>
          <a:srgbClr val="5B9BD5"/>
        </a:solidFill>
        <a:ln w="12700" cap="flat" cmpd="sng" algn="ctr">
          <a:solidFill>
            <a:srgbClr val="5B9BD5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Make available seal air fan</a:t>
          </a:r>
        </a:p>
      </xdr:txBody>
    </xdr:sp>
    <xdr:clientData/>
  </xdr:twoCellAnchor>
  <xdr:twoCellAnchor>
    <xdr:from>
      <xdr:col>20</xdr:col>
      <xdr:colOff>602769</xdr:colOff>
      <xdr:row>9</xdr:row>
      <xdr:rowOff>164256</xdr:rowOff>
    </xdr:from>
    <xdr:to>
      <xdr:col>43</xdr:col>
      <xdr:colOff>242448</xdr:colOff>
      <xdr:row>13</xdr:row>
      <xdr:rowOff>104685</xdr:rowOff>
    </xdr:to>
    <xdr:cxnSp macro="">
      <xdr:nvCxnSpPr>
        <xdr:cNvPr id="302" name="Connector: Elbow 301">
          <a:extLst>
            <a:ext uri="{FF2B5EF4-FFF2-40B4-BE49-F238E27FC236}">
              <a16:creationId xmlns:a16="http://schemas.microsoft.com/office/drawing/2014/main" id="{82FB3122-AD80-4457-8D18-4F7291B461A1}"/>
            </a:ext>
          </a:extLst>
        </xdr:cNvPr>
        <xdr:cNvCxnSpPr/>
      </xdr:nvCxnSpPr>
      <xdr:spPr>
        <a:xfrm rot="16200000" flipH="1">
          <a:off x="19410319" y="-4793944"/>
          <a:ext cx="677029" cy="13908129"/>
        </a:xfrm>
        <a:prstGeom prst="bentConnector3">
          <a:avLst>
            <a:gd name="adj1" fmla="val 45874"/>
          </a:avLst>
        </a:prstGeom>
        <a:noFill/>
        <a:ln w="6350" cap="flat" cmpd="sng" algn="ctr">
          <a:solidFill>
            <a:srgbClr val="5B9BD5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41</xdr:col>
      <xdr:colOff>376480</xdr:colOff>
      <xdr:row>13</xdr:row>
      <xdr:rowOff>124946</xdr:rowOff>
    </xdr:from>
    <xdr:to>
      <xdr:col>45</xdr:col>
      <xdr:colOff>174171</xdr:colOff>
      <xdr:row>21</xdr:row>
      <xdr:rowOff>0</xdr:rowOff>
    </xdr:to>
    <xdr:sp macro="" textlink="">
      <xdr:nvSpPr>
        <xdr:cNvPr id="303" name="Flowchart: Decision 302">
          <a:extLst>
            <a:ext uri="{FF2B5EF4-FFF2-40B4-BE49-F238E27FC236}">
              <a16:creationId xmlns:a16="http://schemas.microsoft.com/office/drawing/2014/main" id="{55D1A347-D5DB-4CC6-89B3-5C5BB13FB005}"/>
            </a:ext>
          </a:extLst>
        </xdr:cNvPr>
        <xdr:cNvSpPr/>
      </xdr:nvSpPr>
      <xdr:spPr>
        <a:xfrm>
          <a:off x="25617730" y="2518896"/>
          <a:ext cx="2236091" cy="1348254"/>
        </a:xfrm>
        <a:prstGeom prst="flowChartDecision">
          <a:avLst/>
        </a:prstGeom>
        <a:solidFill>
          <a:srgbClr val="5B9BD5"/>
        </a:solidFill>
        <a:ln w="12700" cap="flat" cmpd="sng" algn="ctr">
          <a:solidFill>
            <a:srgbClr val="5B9BD5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Check availability of inert steam</a:t>
          </a:r>
        </a:p>
      </xdr:txBody>
    </xdr:sp>
    <xdr:clientData/>
  </xdr:twoCellAnchor>
  <xdr:twoCellAnchor>
    <xdr:from>
      <xdr:col>45</xdr:col>
      <xdr:colOff>172526</xdr:colOff>
      <xdr:row>17</xdr:row>
      <xdr:rowOff>53925</xdr:rowOff>
    </xdr:from>
    <xdr:to>
      <xdr:col>45</xdr:col>
      <xdr:colOff>538422</xdr:colOff>
      <xdr:row>22</xdr:row>
      <xdr:rowOff>13050</xdr:rowOff>
    </xdr:to>
    <xdr:cxnSp macro="">
      <xdr:nvCxnSpPr>
        <xdr:cNvPr id="304" name="Connector: Elbow 303">
          <a:extLst>
            <a:ext uri="{FF2B5EF4-FFF2-40B4-BE49-F238E27FC236}">
              <a16:creationId xmlns:a16="http://schemas.microsoft.com/office/drawing/2014/main" id="{DB704F8B-BF89-4460-9A93-03F258D53D12}"/>
            </a:ext>
          </a:extLst>
        </xdr:cNvPr>
        <xdr:cNvCxnSpPr/>
      </xdr:nvCxnSpPr>
      <xdr:spPr>
        <a:xfrm>
          <a:off x="27852176" y="3184475"/>
          <a:ext cx="365896" cy="879875"/>
        </a:xfrm>
        <a:prstGeom prst="bentConnector2">
          <a:avLst/>
        </a:prstGeom>
        <a:noFill/>
        <a:ln w="6350" cap="flat" cmpd="sng" algn="ctr">
          <a:solidFill>
            <a:srgbClr val="5B9BD5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40</xdr:col>
      <xdr:colOff>84138</xdr:colOff>
      <xdr:row>17</xdr:row>
      <xdr:rowOff>35630</xdr:rowOff>
    </xdr:from>
    <xdr:to>
      <xdr:col>41</xdr:col>
      <xdr:colOff>390860</xdr:colOff>
      <xdr:row>64</xdr:row>
      <xdr:rowOff>31297</xdr:rowOff>
    </xdr:to>
    <xdr:cxnSp macro="">
      <xdr:nvCxnSpPr>
        <xdr:cNvPr id="305" name="Connector: Elbow 304">
          <a:extLst>
            <a:ext uri="{FF2B5EF4-FFF2-40B4-BE49-F238E27FC236}">
              <a16:creationId xmlns:a16="http://schemas.microsoft.com/office/drawing/2014/main" id="{76E4AA09-5246-4220-B7E0-B2363C261D9D}"/>
            </a:ext>
          </a:extLst>
        </xdr:cNvPr>
        <xdr:cNvCxnSpPr>
          <a:endCxn id="310" idx="0"/>
        </xdr:cNvCxnSpPr>
      </xdr:nvCxnSpPr>
      <xdr:spPr>
        <a:xfrm rot="5400000">
          <a:off x="20848590" y="7033378"/>
          <a:ext cx="8650717" cy="916322"/>
        </a:xfrm>
        <a:prstGeom prst="bentConnector3">
          <a:avLst>
            <a:gd name="adj1" fmla="val 50000"/>
          </a:avLst>
        </a:prstGeom>
        <a:noFill/>
        <a:ln w="6350" cap="flat" cmpd="sng" algn="ctr">
          <a:solidFill>
            <a:srgbClr val="5B9BD5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44</xdr:col>
      <xdr:colOff>407974</xdr:colOff>
      <xdr:row>21</xdr:row>
      <xdr:rowOff>172435</xdr:rowOff>
    </xdr:from>
    <xdr:to>
      <xdr:col>46</xdr:col>
      <xdr:colOff>598986</xdr:colOff>
      <xdr:row>25</xdr:row>
      <xdr:rowOff>87010</xdr:rowOff>
    </xdr:to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3B0F23C5-5CBA-452E-8BDD-14C86CC1A9FC}"/>
            </a:ext>
          </a:extLst>
        </xdr:cNvPr>
        <xdr:cNvSpPr/>
      </xdr:nvSpPr>
      <xdr:spPr>
        <a:xfrm>
          <a:off x="27478024" y="4039585"/>
          <a:ext cx="1410212" cy="651175"/>
        </a:xfrm>
        <a:prstGeom prst="rect">
          <a:avLst/>
        </a:prstGeom>
        <a:solidFill>
          <a:srgbClr val="5B9BD5"/>
        </a:solidFill>
        <a:ln w="12700" cap="flat" cmpd="sng" algn="ctr">
          <a:solidFill>
            <a:srgbClr val="5B9BD5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Open inert steam to mill valve</a:t>
          </a:r>
        </a:p>
      </xdr:txBody>
    </xdr:sp>
    <xdr:clientData/>
  </xdr:twoCellAnchor>
  <xdr:twoCellAnchor>
    <xdr:from>
      <xdr:col>0</xdr:col>
      <xdr:colOff>0</xdr:colOff>
      <xdr:row>66</xdr:row>
      <xdr:rowOff>163285</xdr:rowOff>
    </xdr:from>
    <xdr:to>
      <xdr:col>1</xdr:col>
      <xdr:colOff>304800</xdr:colOff>
      <xdr:row>72</xdr:row>
      <xdr:rowOff>75910</xdr:rowOff>
    </xdr:to>
    <xdr:sp macro="" textlink="">
      <xdr:nvSpPr>
        <xdr:cNvPr id="307" name="Flowchart: Document 306">
          <a:extLst>
            <a:ext uri="{FF2B5EF4-FFF2-40B4-BE49-F238E27FC236}">
              <a16:creationId xmlns:a16="http://schemas.microsoft.com/office/drawing/2014/main" id="{BBE9DBFF-43EE-4CB5-982E-5438831ECF1E}"/>
            </a:ext>
          </a:extLst>
        </xdr:cNvPr>
        <xdr:cNvSpPr/>
      </xdr:nvSpPr>
      <xdr:spPr>
        <a:xfrm>
          <a:off x="0" y="12317185"/>
          <a:ext cx="914400" cy="1017525"/>
        </a:xfrm>
        <a:prstGeom prst="flowChartDocument">
          <a:avLst/>
        </a:prstGeom>
        <a:solidFill>
          <a:srgbClr val="70AD47">
            <a:lumMod val="75000"/>
          </a:srgbClr>
        </a:solidFill>
        <a:ln w="12700" cap="flat" cmpd="sng" algn="ctr">
          <a:solidFill>
            <a:srgbClr val="5B9BD5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Output-1</a:t>
          </a:r>
        </a:p>
      </xdr:txBody>
    </xdr:sp>
    <xdr:clientData/>
  </xdr:twoCellAnchor>
  <xdr:twoCellAnchor>
    <xdr:from>
      <xdr:col>27</xdr:col>
      <xdr:colOff>507094</xdr:colOff>
      <xdr:row>65</xdr:row>
      <xdr:rowOff>121103</xdr:rowOff>
    </xdr:from>
    <xdr:to>
      <xdr:col>29</xdr:col>
      <xdr:colOff>215448</xdr:colOff>
      <xdr:row>71</xdr:row>
      <xdr:rowOff>27378</xdr:rowOff>
    </xdr:to>
    <xdr:sp macro="" textlink="">
      <xdr:nvSpPr>
        <xdr:cNvPr id="308" name="Flowchart: Document 307">
          <a:extLst>
            <a:ext uri="{FF2B5EF4-FFF2-40B4-BE49-F238E27FC236}">
              <a16:creationId xmlns:a16="http://schemas.microsoft.com/office/drawing/2014/main" id="{B7CCE9C3-7CEC-4132-A751-C1CB404B10C2}"/>
            </a:ext>
          </a:extLst>
        </xdr:cNvPr>
        <xdr:cNvSpPr/>
      </xdr:nvSpPr>
      <xdr:spPr>
        <a:xfrm>
          <a:off x="16966294" y="12090853"/>
          <a:ext cx="927554" cy="1011175"/>
        </a:xfrm>
        <a:prstGeom prst="flowChartDocument">
          <a:avLst/>
        </a:prstGeom>
        <a:solidFill>
          <a:srgbClr val="70AD47">
            <a:lumMod val="75000"/>
          </a:srgbClr>
        </a:solidFill>
        <a:ln w="12700" cap="flat" cmpd="sng" algn="ctr">
          <a:solidFill>
            <a:srgbClr val="5B9BD5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Output-2</a:t>
          </a:r>
          <a:endParaRPr kumimoji="0" lang="en-IN" sz="18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37</xdr:col>
      <xdr:colOff>38100</xdr:colOff>
      <xdr:row>65</xdr:row>
      <xdr:rowOff>25399</xdr:rowOff>
    </xdr:from>
    <xdr:to>
      <xdr:col>38</xdr:col>
      <xdr:colOff>349249</xdr:colOff>
      <xdr:row>70</xdr:row>
      <xdr:rowOff>105392</xdr:rowOff>
    </xdr:to>
    <xdr:sp macro="" textlink="">
      <xdr:nvSpPr>
        <xdr:cNvPr id="309" name="Flowchart: Document 308">
          <a:extLst>
            <a:ext uri="{FF2B5EF4-FFF2-40B4-BE49-F238E27FC236}">
              <a16:creationId xmlns:a16="http://schemas.microsoft.com/office/drawing/2014/main" id="{0B4AD928-6492-4BC2-B23B-932B0E4E4A0B}"/>
            </a:ext>
          </a:extLst>
        </xdr:cNvPr>
        <xdr:cNvSpPr/>
      </xdr:nvSpPr>
      <xdr:spPr>
        <a:xfrm>
          <a:off x="22840950" y="11995149"/>
          <a:ext cx="920749" cy="1000743"/>
        </a:xfrm>
        <a:prstGeom prst="flowChartDocument">
          <a:avLst/>
        </a:prstGeom>
        <a:solidFill>
          <a:srgbClr val="70AD47">
            <a:lumMod val="75000"/>
          </a:srgbClr>
        </a:solidFill>
        <a:ln w="12700" cap="flat" cmpd="sng" algn="ctr">
          <a:solidFill>
            <a:srgbClr val="5B9BD5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Output-4</a:t>
          </a:r>
          <a:endParaRPr kumimoji="0" lang="en-IN" sz="18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39</xdr:col>
      <xdr:colOff>233136</xdr:colOff>
      <xdr:row>64</xdr:row>
      <xdr:rowOff>34472</xdr:rowOff>
    </xdr:from>
    <xdr:to>
      <xdr:col>40</xdr:col>
      <xdr:colOff>547460</xdr:colOff>
      <xdr:row>69</xdr:row>
      <xdr:rowOff>98590</xdr:rowOff>
    </xdr:to>
    <xdr:sp macro="" textlink="">
      <xdr:nvSpPr>
        <xdr:cNvPr id="310" name="Flowchart: Document 309">
          <a:extLst>
            <a:ext uri="{FF2B5EF4-FFF2-40B4-BE49-F238E27FC236}">
              <a16:creationId xmlns:a16="http://schemas.microsoft.com/office/drawing/2014/main" id="{2D5219A8-848D-4502-9E0D-63D6DFB75B04}"/>
            </a:ext>
          </a:extLst>
        </xdr:cNvPr>
        <xdr:cNvSpPr/>
      </xdr:nvSpPr>
      <xdr:spPr>
        <a:xfrm>
          <a:off x="24255186" y="11820072"/>
          <a:ext cx="923924" cy="984868"/>
        </a:xfrm>
        <a:prstGeom prst="flowChartDocument">
          <a:avLst/>
        </a:prstGeom>
        <a:solidFill>
          <a:srgbClr val="70AD47">
            <a:lumMod val="75000"/>
          </a:srgbClr>
        </a:solidFill>
        <a:ln w="12700" cap="flat" cmpd="sng" algn="ctr">
          <a:solidFill>
            <a:srgbClr val="5B9BD5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Output-5</a:t>
          </a:r>
          <a:endParaRPr kumimoji="0" lang="en-IN" sz="18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29</xdr:col>
      <xdr:colOff>365577</xdr:colOff>
      <xdr:row>65</xdr:row>
      <xdr:rowOff>134257</xdr:rowOff>
    </xdr:from>
    <xdr:to>
      <xdr:col>30</xdr:col>
      <xdr:colOff>406398</xdr:colOff>
      <xdr:row>70</xdr:row>
      <xdr:rowOff>13608</xdr:rowOff>
    </xdr:to>
    <xdr:sp macro="" textlink="">
      <xdr:nvSpPr>
        <xdr:cNvPr id="311" name="Flowchart: Document 310">
          <a:extLst>
            <a:ext uri="{FF2B5EF4-FFF2-40B4-BE49-F238E27FC236}">
              <a16:creationId xmlns:a16="http://schemas.microsoft.com/office/drawing/2014/main" id="{23ED9FD4-1FB5-438E-9A02-D8720CD4EC33}"/>
            </a:ext>
          </a:extLst>
        </xdr:cNvPr>
        <xdr:cNvSpPr/>
      </xdr:nvSpPr>
      <xdr:spPr>
        <a:xfrm>
          <a:off x="18043977" y="12104007"/>
          <a:ext cx="898071" cy="800101"/>
        </a:xfrm>
        <a:prstGeom prst="flowChartDocument">
          <a:avLst/>
        </a:prstGeom>
        <a:solidFill>
          <a:srgbClr val="70AD47">
            <a:lumMod val="75000"/>
          </a:srgbClr>
        </a:solidFill>
        <a:ln w="12700" cap="flat" cmpd="sng" algn="ctr">
          <a:solidFill>
            <a:srgbClr val="5B9BD5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Output-3</a:t>
          </a:r>
          <a:endParaRPr kumimoji="0" lang="en-IN" sz="18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21</xdr:col>
      <xdr:colOff>0</xdr:colOff>
      <xdr:row>77</xdr:row>
      <xdr:rowOff>155786</xdr:rowOff>
    </xdr:from>
    <xdr:to>
      <xdr:col>23</xdr:col>
      <xdr:colOff>183809</xdr:colOff>
      <xdr:row>81</xdr:row>
      <xdr:rowOff>74309</xdr:rowOff>
    </xdr:to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486F492B-7C59-4290-803A-ECAE970D437A}"/>
            </a:ext>
          </a:extLst>
        </xdr:cNvPr>
        <xdr:cNvSpPr/>
      </xdr:nvSpPr>
      <xdr:spPr>
        <a:xfrm>
          <a:off x="12801600" y="14335336"/>
          <a:ext cx="1403009" cy="655123"/>
        </a:xfrm>
        <a:prstGeom prst="rect">
          <a:avLst/>
        </a:prstGeom>
        <a:solidFill>
          <a:srgbClr val="70AD47">
            <a:lumMod val="75000"/>
          </a:srgbClr>
        </a:solidFill>
        <a:ln w="12700" cap="flat" cmpd="sng" algn="ctr">
          <a:solidFill>
            <a:srgbClr val="5B9BD5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Calculate AHI</a:t>
          </a:r>
        </a:p>
      </xdr:txBody>
    </xdr:sp>
    <xdr:clientData/>
  </xdr:twoCellAnchor>
  <xdr:twoCellAnchor>
    <xdr:from>
      <xdr:col>22</xdr:col>
      <xdr:colOff>37999</xdr:colOff>
      <xdr:row>75</xdr:row>
      <xdr:rowOff>31295</xdr:rowOff>
    </xdr:from>
    <xdr:to>
      <xdr:col>22</xdr:col>
      <xdr:colOff>40822</xdr:colOff>
      <xdr:row>77</xdr:row>
      <xdr:rowOff>145509</xdr:rowOff>
    </xdr:to>
    <xdr:cxnSp macro="">
      <xdr:nvCxnSpPr>
        <xdr:cNvPr id="315" name="Straight Arrow Connector 314">
          <a:extLst>
            <a:ext uri="{FF2B5EF4-FFF2-40B4-BE49-F238E27FC236}">
              <a16:creationId xmlns:a16="http://schemas.microsoft.com/office/drawing/2014/main" id="{BA41A790-8CC2-4A72-B628-8814C5787865}"/>
            </a:ext>
          </a:extLst>
        </xdr:cNvPr>
        <xdr:cNvCxnSpPr/>
      </xdr:nvCxnSpPr>
      <xdr:spPr>
        <a:xfrm flipH="1">
          <a:off x="13449199" y="13842545"/>
          <a:ext cx="2823" cy="482514"/>
        </a:xfrm>
        <a:prstGeom prst="straightConnector1">
          <a:avLst/>
        </a:prstGeom>
        <a:noFill/>
        <a:ln w="6350" cap="flat" cmpd="sng" algn="ctr">
          <a:solidFill>
            <a:srgbClr val="5B9BD5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0</xdr:col>
      <xdr:colOff>340179</xdr:colOff>
      <xdr:row>75</xdr:row>
      <xdr:rowOff>13607</xdr:rowOff>
    </xdr:from>
    <xdr:to>
      <xdr:col>40</xdr:col>
      <xdr:colOff>81643</xdr:colOff>
      <xdr:row>75</xdr:row>
      <xdr:rowOff>27215</xdr:rowOff>
    </xdr:to>
    <xdr:cxnSp macro="">
      <xdr:nvCxnSpPr>
        <xdr:cNvPr id="316" name="Straight Connector 315">
          <a:extLst>
            <a:ext uri="{FF2B5EF4-FFF2-40B4-BE49-F238E27FC236}">
              <a16:creationId xmlns:a16="http://schemas.microsoft.com/office/drawing/2014/main" id="{CA02E7DB-4384-443A-8789-4B53C10034F8}"/>
            </a:ext>
          </a:extLst>
        </xdr:cNvPr>
        <xdr:cNvCxnSpPr/>
      </xdr:nvCxnSpPr>
      <xdr:spPr>
        <a:xfrm flipV="1">
          <a:off x="340179" y="13824857"/>
          <a:ext cx="24373114" cy="13608"/>
        </a:xfrm>
        <a:prstGeom prst="line">
          <a:avLst/>
        </a:prstGeom>
        <a:noFill/>
        <a:ln w="6350" cap="flat" cmpd="sng" algn="ctr">
          <a:solidFill>
            <a:srgbClr val="5B9BD5"/>
          </a:solidFill>
          <a:prstDash val="solid"/>
          <a:miter lim="800000"/>
        </a:ln>
        <a:effectLst/>
      </xdr:spPr>
    </xdr:cxnSp>
    <xdr:clientData/>
  </xdr:twoCellAnchor>
  <xdr:twoCellAnchor>
    <xdr:from>
      <xdr:col>0</xdr:col>
      <xdr:colOff>353685</xdr:colOff>
      <xdr:row>72</xdr:row>
      <xdr:rowOff>88444</xdr:rowOff>
    </xdr:from>
    <xdr:to>
      <xdr:col>0</xdr:col>
      <xdr:colOff>356508</xdr:colOff>
      <xdr:row>75</xdr:row>
      <xdr:rowOff>25766</xdr:rowOff>
    </xdr:to>
    <xdr:cxnSp macro="">
      <xdr:nvCxnSpPr>
        <xdr:cNvPr id="317" name="Straight Arrow Connector 316">
          <a:extLst>
            <a:ext uri="{FF2B5EF4-FFF2-40B4-BE49-F238E27FC236}">
              <a16:creationId xmlns:a16="http://schemas.microsoft.com/office/drawing/2014/main" id="{411FA369-9828-4D17-B6B0-87515658C287}"/>
            </a:ext>
          </a:extLst>
        </xdr:cNvPr>
        <xdr:cNvCxnSpPr/>
      </xdr:nvCxnSpPr>
      <xdr:spPr>
        <a:xfrm flipH="1">
          <a:off x="353685" y="13347244"/>
          <a:ext cx="2823" cy="489772"/>
        </a:xfrm>
        <a:prstGeom prst="straightConnector1">
          <a:avLst/>
        </a:prstGeom>
        <a:noFill/>
        <a:ln w="6350" cap="flat" cmpd="sng" algn="ctr">
          <a:solidFill>
            <a:srgbClr val="5B9BD5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28</xdr:col>
      <xdr:colOff>206728</xdr:colOff>
      <xdr:row>71</xdr:row>
      <xdr:rowOff>36731</xdr:rowOff>
    </xdr:from>
    <xdr:to>
      <xdr:col>28</xdr:col>
      <xdr:colOff>206728</xdr:colOff>
      <xdr:row>74</xdr:row>
      <xdr:rowOff>154053</xdr:rowOff>
    </xdr:to>
    <xdr:cxnSp macro="">
      <xdr:nvCxnSpPr>
        <xdr:cNvPr id="318" name="Straight Arrow Connector 317">
          <a:extLst>
            <a:ext uri="{FF2B5EF4-FFF2-40B4-BE49-F238E27FC236}">
              <a16:creationId xmlns:a16="http://schemas.microsoft.com/office/drawing/2014/main" id="{37BBCD96-4B34-49E8-A2FB-C2EBBFFB360C}"/>
            </a:ext>
          </a:extLst>
        </xdr:cNvPr>
        <xdr:cNvCxnSpPr/>
      </xdr:nvCxnSpPr>
      <xdr:spPr>
        <a:xfrm flipH="1">
          <a:off x="17275528" y="13111381"/>
          <a:ext cx="0" cy="669772"/>
        </a:xfrm>
        <a:prstGeom prst="straightConnector1">
          <a:avLst/>
        </a:prstGeom>
        <a:noFill/>
        <a:ln w="6350" cap="flat" cmpd="sng" algn="ctr">
          <a:solidFill>
            <a:srgbClr val="5B9BD5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29</xdr:col>
      <xdr:colOff>655310</xdr:colOff>
      <xdr:row>70</xdr:row>
      <xdr:rowOff>25840</xdr:rowOff>
    </xdr:from>
    <xdr:to>
      <xdr:col>29</xdr:col>
      <xdr:colOff>655310</xdr:colOff>
      <xdr:row>74</xdr:row>
      <xdr:rowOff>146269</xdr:rowOff>
    </xdr:to>
    <xdr:cxnSp macro="">
      <xdr:nvCxnSpPr>
        <xdr:cNvPr id="319" name="Straight Arrow Connector 318">
          <a:extLst>
            <a:ext uri="{FF2B5EF4-FFF2-40B4-BE49-F238E27FC236}">
              <a16:creationId xmlns:a16="http://schemas.microsoft.com/office/drawing/2014/main" id="{0F144F3A-B94A-44A0-A820-33F7C6C4A965}"/>
            </a:ext>
          </a:extLst>
        </xdr:cNvPr>
        <xdr:cNvCxnSpPr/>
      </xdr:nvCxnSpPr>
      <xdr:spPr>
        <a:xfrm flipH="1">
          <a:off x="18333710" y="12916340"/>
          <a:ext cx="0" cy="857029"/>
        </a:xfrm>
        <a:prstGeom prst="straightConnector1">
          <a:avLst/>
        </a:prstGeom>
        <a:noFill/>
        <a:ln w="6350" cap="flat" cmpd="sng" algn="ctr">
          <a:solidFill>
            <a:srgbClr val="5B9BD5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37</xdr:col>
      <xdr:colOff>345067</xdr:colOff>
      <xdr:row>70</xdr:row>
      <xdr:rowOff>48519</xdr:rowOff>
    </xdr:from>
    <xdr:to>
      <xdr:col>37</xdr:col>
      <xdr:colOff>345067</xdr:colOff>
      <xdr:row>74</xdr:row>
      <xdr:rowOff>162598</xdr:rowOff>
    </xdr:to>
    <xdr:cxnSp macro="">
      <xdr:nvCxnSpPr>
        <xdr:cNvPr id="320" name="Straight Arrow Connector 319">
          <a:extLst>
            <a:ext uri="{FF2B5EF4-FFF2-40B4-BE49-F238E27FC236}">
              <a16:creationId xmlns:a16="http://schemas.microsoft.com/office/drawing/2014/main" id="{063473AF-3454-4BD0-AA98-44CEF52D3690}"/>
            </a:ext>
          </a:extLst>
        </xdr:cNvPr>
        <xdr:cNvCxnSpPr/>
      </xdr:nvCxnSpPr>
      <xdr:spPr>
        <a:xfrm flipH="1">
          <a:off x="23147917" y="12939019"/>
          <a:ext cx="0" cy="850679"/>
        </a:xfrm>
        <a:prstGeom prst="straightConnector1">
          <a:avLst/>
        </a:prstGeom>
        <a:noFill/>
        <a:ln w="6350" cap="flat" cmpd="sng" algn="ctr">
          <a:solidFill>
            <a:srgbClr val="5B9BD5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40</xdr:col>
      <xdr:colOff>7609</xdr:colOff>
      <xdr:row>69</xdr:row>
      <xdr:rowOff>102493</xdr:rowOff>
    </xdr:from>
    <xdr:to>
      <xdr:col>40</xdr:col>
      <xdr:colOff>7609</xdr:colOff>
      <xdr:row>75</xdr:row>
      <xdr:rowOff>13136</xdr:rowOff>
    </xdr:to>
    <xdr:cxnSp macro="">
      <xdr:nvCxnSpPr>
        <xdr:cNvPr id="321" name="Straight Arrow Connector 320">
          <a:extLst>
            <a:ext uri="{FF2B5EF4-FFF2-40B4-BE49-F238E27FC236}">
              <a16:creationId xmlns:a16="http://schemas.microsoft.com/office/drawing/2014/main" id="{BA8C6C33-8BD8-4C61-B1FC-7A70B23A812B}"/>
            </a:ext>
          </a:extLst>
        </xdr:cNvPr>
        <xdr:cNvCxnSpPr/>
      </xdr:nvCxnSpPr>
      <xdr:spPr>
        <a:xfrm flipH="1">
          <a:off x="24639259" y="12808843"/>
          <a:ext cx="0" cy="1015543"/>
        </a:xfrm>
        <a:prstGeom prst="straightConnector1">
          <a:avLst/>
        </a:prstGeom>
        <a:noFill/>
        <a:ln w="6350" cap="flat" cmpd="sng" algn="ctr">
          <a:solidFill>
            <a:srgbClr val="5B9BD5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11</xdr:col>
      <xdr:colOff>608264</xdr:colOff>
      <xdr:row>4</xdr:row>
      <xdr:rowOff>145280</xdr:rowOff>
    </xdr:from>
    <xdr:to>
      <xdr:col>20</xdr:col>
      <xdr:colOff>602196</xdr:colOff>
      <xdr:row>7</xdr:row>
      <xdr:rowOff>46601</xdr:rowOff>
    </xdr:to>
    <xdr:cxnSp macro="">
      <xdr:nvCxnSpPr>
        <xdr:cNvPr id="400" name="Connector: Elbow 399">
          <a:extLst>
            <a:ext uri="{FF2B5EF4-FFF2-40B4-BE49-F238E27FC236}">
              <a16:creationId xmlns:a16="http://schemas.microsoft.com/office/drawing/2014/main" id="{5A957719-4F1B-4184-AD73-2F44ADBFFB3F}"/>
            </a:ext>
          </a:extLst>
        </xdr:cNvPr>
        <xdr:cNvCxnSpPr/>
      </xdr:nvCxnSpPr>
      <xdr:spPr>
        <a:xfrm rot="16200000" flipH="1">
          <a:off x="9827144" y="-1631400"/>
          <a:ext cx="453771" cy="5480332"/>
        </a:xfrm>
        <a:prstGeom prst="bentConnector3">
          <a:avLst>
            <a:gd name="adj1" fmla="val 50000"/>
          </a:avLst>
        </a:prstGeom>
        <a:noFill/>
        <a:ln w="6350" cap="flat" cmpd="sng" algn="ctr">
          <a:solidFill>
            <a:srgbClr val="5B9BD5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11</xdr:col>
      <xdr:colOff>53975</xdr:colOff>
      <xdr:row>0</xdr:row>
      <xdr:rowOff>153761</xdr:rowOff>
    </xdr:from>
    <xdr:to>
      <xdr:col>12</xdr:col>
      <xdr:colOff>587375</xdr:colOff>
      <xdr:row>3</xdr:row>
      <xdr:rowOff>5442</xdr:rowOff>
    </xdr:to>
    <xdr:sp macro="" textlink="">
      <xdr:nvSpPr>
        <xdr:cNvPr id="401" name="Oval 400">
          <a:extLst>
            <a:ext uri="{FF2B5EF4-FFF2-40B4-BE49-F238E27FC236}">
              <a16:creationId xmlns:a16="http://schemas.microsoft.com/office/drawing/2014/main" id="{5420B648-D7F4-4598-9E0E-212E3CB4F9C0}"/>
            </a:ext>
          </a:extLst>
        </xdr:cNvPr>
        <xdr:cNvSpPr/>
      </xdr:nvSpPr>
      <xdr:spPr>
        <a:xfrm>
          <a:off x="6759575" y="153761"/>
          <a:ext cx="1143000" cy="404131"/>
        </a:xfrm>
        <a:prstGeom prst="ellipse">
          <a:avLst/>
        </a:prstGeom>
        <a:solidFill>
          <a:srgbClr val="5B9BD5"/>
        </a:solidFill>
        <a:ln w="12700" cap="flat" cmpd="sng" algn="ctr">
          <a:solidFill>
            <a:srgbClr val="5B9BD5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Start</a:t>
          </a:r>
        </a:p>
      </xdr:txBody>
    </xdr:sp>
    <xdr:clientData/>
  </xdr:twoCellAnchor>
  <xdr:twoCellAnchor>
    <xdr:from>
      <xdr:col>12</xdr:col>
      <xdr:colOff>19049</xdr:colOff>
      <xdr:row>3</xdr:row>
      <xdr:rowOff>5442</xdr:rowOff>
    </xdr:from>
    <xdr:to>
      <xdr:col>12</xdr:col>
      <xdr:colOff>19049</xdr:colOff>
      <xdr:row>6</xdr:row>
      <xdr:rowOff>2518</xdr:rowOff>
    </xdr:to>
    <xdr:cxnSp macro="">
      <xdr:nvCxnSpPr>
        <xdr:cNvPr id="402" name="Connector: Elbow 401">
          <a:extLst>
            <a:ext uri="{FF2B5EF4-FFF2-40B4-BE49-F238E27FC236}">
              <a16:creationId xmlns:a16="http://schemas.microsoft.com/office/drawing/2014/main" id="{14EF44B2-1DA0-4820-BB4E-26D177DACC9C}"/>
            </a:ext>
          </a:extLst>
        </xdr:cNvPr>
        <xdr:cNvCxnSpPr>
          <a:cxnSpLocks/>
          <a:stCxn id="401" idx="4"/>
        </xdr:cNvCxnSpPr>
      </xdr:nvCxnSpPr>
      <xdr:spPr>
        <a:xfrm rot="5400000">
          <a:off x="7059486" y="832655"/>
          <a:ext cx="549526" cy="0"/>
        </a:xfrm>
        <a:prstGeom prst="bentConnector3">
          <a:avLst>
            <a:gd name="adj1" fmla="val 50000"/>
          </a:avLst>
        </a:prstGeom>
        <a:noFill/>
        <a:ln w="6350" cap="flat" cmpd="sng" algn="ctr">
          <a:solidFill>
            <a:srgbClr val="5B9BD5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1</xdr:col>
      <xdr:colOff>514349</xdr:colOff>
      <xdr:row>8</xdr:row>
      <xdr:rowOff>9525</xdr:rowOff>
    </xdr:from>
    <xdr:to>
      <xdr:col>4</xdr:col>
      <xdr:colOff>82774</xdr:colOff>
      <xdr:row>10</xdr:row>
      <xdr:rowOff>40400</xdr:rowOff>
    </xdr:to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4CF6A806-4679-41D6-95C5-263024857785}"/>
            </a:ext>
          </a:extLst>
        </xdr:cNvPr>
        <xdr:cNvSpPr/>
      </xdr:nvSpPr>
      <xdr:spPr>
        <a:xfrm>
          <a:off x="1123949" y="1482725"/>
          <a:ext cx="1397225" cy="399175"/>
        </a:xfrm>
        <a:prstGeom prst="rect">
          <a:avLst/>
        </a:prstGeom>
        <a:solidFill>
          <a:srgbClr val="5B9BD5"/>
        </a:solidFill>
        <a:ln w="12700" cap="flat" cmpd="sng" algn="ctr">
          <a:solidFill>
            <a:srgbClr val="5B9BD5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Electrical Problem</a:t>
          </a:r>
        </a:p>
      </xdr:txBody>
    </xdr:sp>
    <xdr:clientData/>
  </xdr:twoCellAnchor>
  <xdr:twoCellAnchor>
    <xdr:from>
      <xdr:col>19</xdr:col>
      <xdr:colOff>523874</xdr:colOff>
      <xdr:row>7</xdr:row>
      <xdr:rowOff>133349</xdr:rowOff>
    </xdr:from>
    <xdr:to>
      <xdr:col>22</xdr:col>
      <xdr:colOff>101824</xdr:colOff>
      <xdr:row>9</xdr:row>
      <xdr:rowOff>173749</xdr:rowOff>
    </xdr:to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EF267B41-EA6C-413E-B4A5-F14586E368FA}"/>
            </a:ext>
          </a:extLst>
        </xdr:cNvPr>
        <xdr:cNvSpPr/>
      </xdr:nvSpPr>
      <xdr:spPr>
        <a:xfrm>
          <a:off x="12106274" y="1422399"/>
          <a:ext cx="1406750" cy="408700"/>
        </a:xfrm>
        <a:prstGeom prst="rect">
          <a:avLst/>
        </a:prstGeom>
        <a:solidFill>
          <a:srgbClr val="5B9BD5"/>
        </a:solidFill>
        <a:ln w="12700" cap="flat" cmpd="sng" algn="ctr">
          <a:solidFill>
            <a:srgbClr val="5B9BD5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Mechanical Problem</a:t>
          </a:r>
        </a:p>
      </xdr:txBody>
    </xdr:sp>
    <xdr:clientData/>
  </xdr:twoCellAnchor>
  <xdr:twoCellAnchor>
    <xdr:from>
      <xdr:col>2</xdr:col>
      <xdr:colOff>600187</xdr:colOff>
      <xdr:row>10</xdr:row>
      <xdr:rowOff>40400</xdr:rowOff>
    </xdr:from>
    <xdr:to>
      <xdr:col>3</xdr:col>
      <xdr:colOff>0</xdr:colOff>
      <xdr:row>13</xdr:row>
      <xdr:rowOff>25400</xdr:rowOff>
    </xdr:to>
    <xdr:cxnSp macro="">
      <xdr:nvCxnSpPr>
        <xdr:cNvPr id="406" name="Straight Arrow Connector 405">
          <a:extLst>
            <a:ext uri="{FF2B5EF4-FFF2-40B4-BE49-F238E27FC236}">
              <a16:creationId xmlns:a16="http://schemas.microsoft.com/office/drawing/2014/main" id="{6EFBE6B1-DC13-4ACA-8B35-52DEC3CCBD5F}"/>
            </a:ext>
          </a:extLst>
        </xdr:cNvPr>
        <xdr:cNvCxnSpPr>
          <a:stCxn id="404" idx="2"/>
        </xdr:cNvCxnSpPr>
      </xdr:nvCxnSpPr>
      <xdr:spPr>
        <a:xfrm>
          <a:off x="1819387" y="1881900"/>
          <a:ext cx="9413" cy="537450"/>
        </a:xfrm>
        <a:prstGeom prst="straightConnector1">
          <a:avLst/>
        </a:prstGeom>
        <a:noFill/>
        <a:ln w="6350" cap="flat" cmpd="sng" algn="ctr">
          <a:solidFill>
            <a:srgbClr val="5B9BD5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1</xdr:col>
      <xdr:colOff>171428</xdr:colOff>
      <xdr:row>13</xdr:row>
      <xdr:rowOff>50799</xdr:rowOff>
    </xdr:from>
    <xdr:to>
      <xdr:col>4</xdr:col>
      <xdr:colOff>430628</xdr:colOff>
      <xdr:row>18</xdr:row>
      <xdr:rowOff>45924</xdr:rowOff>
    </xdr:to>
    <xdr:sp macro="" textlink="">
      <xdr:nvSpPr>
        <xdr:cNvPr id="407" name="Flowchart: Decision 406">
          <a:extLst>
            <a:ext uri="{FF2B5EF4-FFF2-40B4-BE49-F238E27FC236}">
              <a16:creationId xmlns:a16="http://schemas.microsoft.com/office/drawing/2014/main" id="{E2130533-8292-44B4-9410-3CB38269F7D7}"/>
            </a:ext>
          </a:extLst>
        </xdr:cNvPr>
        <xdr:cNvSpPr/>
      </xdr:nvSpPr>
      <xdr:spPr>
        <a:xfrm>
          <a:off x="781028" y="2444749"/>
          <a:ext cx="2088000" cy="915875"/>
        </a:xfrm>
        <a:prstGeom prst="flowChartDecision">
          <a:avLst/>
        </a:prstGeom>
        <a:solidFill>
          <a:srgbClr val="5B9BD5"/>
        </a:solidFill>
        <a:ln w="12700" cap="flat" cmpd="sng" algn="ctr">
          <a:solidFill>
            <a:srgbClr val="5B9BD5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Motor Current Deviation</a:t>
          </a:r>
        </a:p>
      </xdr:txBody>
    </xdr:sp>
    <xdr:clientData/>
  </xdr:twoCellAnchor>
  <xdr:twoCellAnchor>
    <xdr:from>
      <xdr:col>0</xdr:col>
      <xdr:colOff>471376</xdr:colOff>
      <xdr:row>15</xdr:row>
      <xdr:rowOff>145192</xdr:rowOff>
    </xdr:from>
    <xdr:to>
      <xdr:col>1</xdr:col>
      <xdr:colOff>221776</xdr:colOff>
      <xdr:row>66</xdr:row>
      <xdr:rowOff>159656</xdr:rowOff>
    </xdr:to>
    <xdr:cxnSp macro="">
      <xdr:nvCxnSpPr>
        <xdr:cNvPr id="408" name="Connector: Elbow 407">
          <a:extLst>
            <a:ext uri="{FF2B5EF4-FFF2-40B4-BE49-F238E27FC236}">
              <a16:creationId xmlns:a16="http://schemas.microsoft.com/office/drawing/2014/main" id="{7B781444-18F5-45FA-BE11-4DD46A3A4A17}"/>
            </a:ext>
          </a:extLst>
        </xdr:cNvPr>
        <xdr:cNvCxnSpPr/>
      </xdr:nvCxnSpPr>
      <xdr:spPr>
        <a:xfrm rot="10800000" flipV="1">
          <a:off x="471376" y="2907442"/>
          <a:ext cx="360000" cy="9406114"/>
        </a:xfrm>
        <a:prstGeom prst="bentConnector2">
          <a:avLst/>
        </a:prstGeom>
        <a:noFill/>
        <a:ln w="6350" cap="flat" cmpd="sng" algn="ctr">
          <a:solidFill>
            <a:srgbClr val="5B9BD5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352403</xdr:colOff>
      <xdr:row>20</xdr:row>
      <xdr:rowOff>79374</xdr:rowOff>
    </xdr:from>
    <xdr:to>
      <xdr:col>7</xdr:col>
      <xdr:colOff>2003</xdr:colOff>
      <xdr:row>25</xdr:row>
      <xdr:rowOff>75349</xdr:rowOff>
    </xdr:to>
    <xdr:sp macro="" textlink="">
      <xdr:nvSpPr>
        <xdr:cNvPr id="409" name="Flowchart: Decision 408">
          <a:extLst>
            <a:ext uri="{FF2B5EF4-FFF2-40B4-BE49-F238E27FC236}">
              <a16:creationId xmlns:a16="http://schemas.microsoft.com/office/drawing/2014/main" id="{27BC49C5-4334-4D7D-BD8D-C784F21A4BCA}"/>
            </a:ext>
          </a:extLst>
        </xdr:cNvPr>
        <xdr:cNvSpPr/>
      </xdr:nvSpPr>
      <xdr:spPr>
        <a:xfrm>
          <a:off x="2181203" y="3762374"/>
          <a:ext cx="2088000" cy="916725"/>
        </a:xfrm>
        <a:prstGeom prst="flowChartDecision">
          <a:avLst/>
        </a:prstGeom>
        <a:solidFill>
          <a:srgbClr val="5B9BD5"/>
        </a:solidFill>
        <a:ln w="12700" cap="flat" cmpd="sng" algn="ctr">
          <a:solidFill>
            <a:srgbClr val="5B9BD5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Check Winding Temperature</a:t>
          </a:r>
        </a:p>
      </xdr:txBody>
    </xdr:sp>
    <xdr:clientData/>
  </xdr:twoCellAnchor>
  <xdr:twoCellAnchor>
    <xdr:from>
      <xdr:col>4</xdr:col>
      <xdr:colOff>427453</xdr:colOff>
      <xdr:row>15</xdr:row>
      <xdr:rowOff>145199</xdr:rowOff>
    </xdr:from>
    <xdr:to>
      <xdr:col>5</xdr:col>
      <xdr:colOff>177853</xdr:colOff>
      <xdr:row>20</xdr:row>
      <xdr:rowOff>57949</xdr:rowOff>
    </xdr:to>
    <xdr:cxnSp macro="">
      <xdr:nvCxnSpPr>
        <xdr:cNvPr id="410" name="Connector: Elbow 409">
          <a:extLst>
            <a:ext uri="{FF2B5EF4-FFF2-40B4-BE49-F238E27FC236}">
              <a16:creationId xmlns:a16="http://schemas.microsoft.com/office/drawing/2014/main" id="{1ED8DB76-2713-4F5F-9EC2-672CDDBB35EA}"/>
            </a:ext>
          </a:extLst>
        </xdr:cNvPr>
        <xdr:cNvCxnSpPr>
          <a:stCxn id="407" idx="3"/>
        </xdr:cNvCxnSpPr>
      </xdr:nvCxnSpPr>
      <xdr:spPr>
        <a:xfrm>
          <a:off x="2865853" y="2907449"/>
          <a:ext cx="360000" cy="833500"/>
        </a:xfrm>
        <a:prstGeom prst="bentConnector2">
          <a:avLst/>
        </a:prstGeom>
        <a:noFill/>
        <a:ln w="6350" cap="flat" cmpd="sng" algn="ctr">
          <a:solidFill>
            <a:srgbClr val="5B9BD5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11454</xdr:colOff>
      <xdr:row>23</xdr:row>
      <xdr:rowOff>2324</xdr:rowOff>
    </xdr:from>
    <xdr:to>
      <xdr:col>3</xdr:col>
      <xdr:colOff>371454</xdr:colOff>
      <xdr:row>27</xdr:row>
      <xdr:rowOff>92075</xdr:rowOff>
    </xdr:to>
    <xdr:cxnSp macro="">
      <xdr:nvCxnSpPr>
        <xdr:cNvPr id="411" name="Connector: Elbow 410">
          <a:extLst>
            <a:ext uri="{FF2B5EF4-FFF2-40B4-BE49-F238E27FC236}">
              <a16:creationId xmlns:a16="http://schemas.microsoft.com/office/drawing/2014/main" id="{A56463D6-3D40-4AA7-A374-CC393F488D42}"/>
            </a:ext>
          </a:extLst>
        </xdr:cNvPr>
        <xdr:cNvCxnSpPr/>
      </xdr:nvCxnSpPr>
      <xdr:spPr>
        <a:xfrm rot="10800000" flipV="1">
          <a:off x="1840254" y="4237774"/>
          <a:ext cx="360000" cy="826351"/>
        </a:xfrm>
        <a:prstGeom prst="bentConnector2">
          <a:avLst/>
        </a:prstGeom>
        <a:noFill/>
        <a:ln w="6350" cap="flat" cmpd="sng" algn="ctr">
          <a:solidFill>
            <a:srgbClr val="5B9BD5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7</xdr:col>
      <xdr:colOff>17878</xdr:colOff>
      <xdr:row>22</xdr:row>
      <xdr:rowOff>180124</xdr:rowOff>
    </xdr:from>
    <xdr:to>
      <xdr:col>7</xdr:col>
      <xdr:colOff>377878</xdr:colOff>
      <xdr:row>27</xdr:row>
      <xdr:rowOff>92874</xdr:rowOff>
    </xdr:to>
    <xdr:cxnSp macro="">
      <xdr:nvCxnSpPr>
        <xdr:cNvPr id="412" name="Connector: Elbow 411">
          <a:extLst>
            <a:ext uri="{FF2B5EF4-FFF2-40B4-BE49-F238E27FC236}">
              <a16:creationId xmlns:a16="http://schemas.microsoft.com/office/drawing/2014/main" id="{E26CF49E-E751-4044-A9F7-DEAD5909C101}"/>
            </a:ext>
          </a:extLst>
        </xdr:cNvPr>
        <xdr:cNvCxnSpPr/>
      </xdr:nvCxnSpPr>
      <xdr:spPr>
        <a:xfrm>
          <a:off x="4285078" y="4231424"/>
          <a:ext cx="360000" cy="833500"/>
        </a:xfrm>
        <a:prstGeom prst="bentConnector2">
          <a:avLst/>
        </a:prstGeom>
        <a:noFill/>
        <a:ln w="6350" cap="flat" cmpd="sng" algn="ctr">
          <a:solidFill>
            <a:srgbClr val="5B9BD5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1</xdr:col>
      <xdr:colOff>184128</xdr:colOff>
      <xdr:row>27</xdr:row>
      <xdr:rowOff>85724</xdr:rowOff>
    </xdr:from>
    <xdr:to>
      <xdr:col>4</xdr:col>
      <xdr:colOff>440153</xdr:colOff>
      <xdr:row>32</xdr:row>
      <xdr:rowOff>88049</xdr:rowOff>
    </xdr:to>
    <xdr:sp macro="" textlink="">
      <xdr:nvSpPr>
        <xdr:cNvPr id="413" name="Flowchart: Decision 412">
          <a:extLst>
            <a:ext uri="{FF2B5EF4-FFF2-40B4-BE49-F238E27FC236}">
              <a16:creationId xmlns:a16="http://schemas.microsoft.com/office/drawing/2014/main" id="{8C142AD7-97F9-4E8F-9E4E-D67ECD276F51}"/>
            </a:ext>
          </a:extLst>
        </xdr:cNvPr>
        <xdr:cNvSpPr/>
      </xdr:nvSpPr>
      <xdr:spPr>
        <a:xfrm>
          <a:off x="793728" y="5057774"/>
          <a:ext cx="2084825" cy="923075"/>
        </a:xfrm>
        <a:prstGeom prst="flowChartDecision">
          <a:avLst/>
        </a:prstGeom>
        <a:solidFill>
          <a:srgbClr val="5B9BD5"/>
        </a:solidFill>
        <a:ln w="12700" cap="flat" cmpd="sng" algn="ctr">
          <a:solidFill>
            <a:srgbClr val="5B9BD5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Check IR Value</a:t>
          </a:r>
        </a:p>
      </xdr:txBody>
    </xdr:sp>
    <xdr:clientData/>
  </xdr:twoCellAnchor>
  <xdr:twoCellAnchor>
    <xdr:from>
      <xdr:col>5</xdr:col>
      <xdr:colOff>555603</xdr:colOff>
      <xdr:row>27</xdr:row>
      <xdr:rowOff>98424</xdr:rowOff>
    </xdr:from>
    <xdr:to>
      <xdr:col>9</xdr:col>
      <xdr:colOff>202028</xdr:colOff>
      <xdr:row>32</xdr:row>
      <xdr:rowOff>94399</xdr:rowOff>
    </xdr:to>
    <xdr:sp macro="" textlink="">
      <xdr:nvSpPr>
        <xdr:cNvPr id="414" name="Flowchart: Decision 413">
          <a:extLst>
            <a:ext uri="{FF2B5EF4-FFF2-40B4-BE49-F238E27FC236}">
              <a16:creationId xmlns:a16="http://schemas.microsoft.com/office/drawing/2014/main" id="{9792CB93-D04C-42FA-A13F-5C5081D17F8C}"/>
            </a:ext>
          </a:extLst>
        </xdr:cNvPr>
        <xdr:cNvSpPr/>
      </xdr:nvSpPr>
      <xdr:spPr>
        <a:xfrm>
          <a:off x="3603603" y="5070474"/>
          <a:ext cx="2084825" cy="916725"/>
        </a:xfrm>
        <a:prstGeom prst="flowChartDecision">
          <a:avLst/>
        </a:prstGeom>
        <a:solidFill>
          <a:srgbClr val="5B9BD5"/>
        </a:solidFill>
        <a:ln w="12700" cap="flat" cmpd="sng" algn="ctr">
          <a:solidFill>
            <a:srgbClr val="5B9BD5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Motor DE/NDE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Temperature</a:t>
          </a:r>
        </a:p>
      </xdr:txBody>
    </xdr:sp>
    <xdr:clientData/>
  </xdr:twoCellAnchor>
  <xdr:twoCellAnchor>
    <xdr:from>
      <xdr:col>5</xdr:col>
      <xdr:colOff>201954</xdr:colOff>
      <xdr:row>30</xdr:row>
      <xdr:rowOff>11849</xdr:rowOff>
    </xdr:from>
    <xdr:to>
      <xdr:col>5</xdr:col>
      <xdr:colOff>561954</xdr:colOff>
      <xdr:row>34</xdr:row>
      <xdr:rowOff>101600</xdr:rowOff>
    </xdr:to>
    <xdr:cxnSp macro="">
      <xdr:nvCxnSpPr>
        <xdr:cNvPr id="415" name="Connector: Elbow 414">
          <a:extLst>
            <a:ext uri="{FF2B5EF4-FFF2-40B4-BE49-F238E27FC236}">
              <a16:creationId xmlns:a16="http://schemas.microsoft.com/office/drawing/2014/main" id="{792FF7E0-C408-4EE7-A10F-61355623714C}"/>
            </a:ext>
          </a:extLst>
        </xdr:cNvPr>
        <xdr:cNvCxnSpPr/>
      </xdr:nvCxnSpPr>
      <xdr:spPr>
        <a:xfrm rot="10800000" flipV="1">
          <a:off x="3249954" y="5536349"/>
          <a:ext cx="360000" cy="826351"/>
        </a:xfrm>
        <a:prstGeom prst="bentConnector2">
          <a:avLst/>
        </a:prstGeom>
        <a:noFill/>
        <a:ln w="6350" cap="flat" cmpd="sng" algn="ctr">
          <a:solidFill>
            <a:srgbClr val="5B9BD5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9</xdr:col>
      <xdr:colOff>198853</xdr:colOff>
      <xdr:row>30</xdr:row>
      <xdr:rowOff>11849</xdr:rowOff>
    </xdr:from>
    <xdr:to>
      <xdr:col>9</xdr:col>
      <xdr:colOff>558853</xdr:colOff>
      <xdr:row>34</xdr:row>
      <xdr:rowOff>102399</xdr:rowOff>
    </xdr:to>
    <xdr:cxnSp macro="">
      <xdr:nvCxnSpPr>
        <xdr:cNvPr id="416" name="Connector: Elbow 415">
          <a:extLst>
            <a:ext uri="{FF2B5EF4-FFF2-40B4-BE49-F238E27FC236}">
              <a16:creationId xmlns:a16="http://schemas.microsoft.com/office/drawing/2014/main" id="{CF57FCEC-4C1B-4253-B5A2-45311A59BB4D}"/>
            </a:ext>
          </a:extLst>
        </xdr:cNvPr>
        <xdr:cNvCxnSpPr/>
      </xdr:nvCxnSpPr>
      <xdr:spPr>
        <a:xfrm>
          <a:off x="5685253" y="5536349"/>
          <a:ext cx="360000" cy="827150"/>
        </a:xfrm>
        <a:prstGeom prst="bentConnector2">
          <a:avLst/>
        </a:prstGeom>
        <a:noFill/>
        <a:ln w="6350" cap="flat" cmpd="sng" algn="ctr">
          <a:solidFill>
            <a:srgbClr val="5B9BD5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112</xdr:colOff>
      <xdr:row>32</xdr:row>
      <xdr:rowOff>103900</xdr:rowOff>
    </xdr:from>
    <xdr:to>
      <xdr:col>3</xdr:col>
      <xdr:colOff>9525</xdr:colOff>
      <xdr:row>35</xdr:row>
      <xdr:rowOff>95250</xdr:rowOff>
    </xdr:to>
    <xdr:cxnSp macro="">
      <xdr:nvCxnSpPr>
        <xdr:cNvPr id="417" name="Straight Arrow Connector 416">
          <a:extLst>
            <a:ext uri="{FF2B5EF4-FFF2-40B4-BE49-F238E27FC236}">
              <a16:creationId xmlns:a16="http://schemas.microsoft.com/office/drawing/2014/main" id="{ECFEE834-3200-4F5D-8266-ABD8A623598A}"/>
            </a:ext>
          </a:extLst>
        </xdr:cNvPr>
        <xdr:cNvCxnSpPr/>
      </xdr:nvCxnSpPr>
      <xdr:spPr>
        <a:xfrm>
          <a:off x="1828912" y="5996700"/>
          <a:ext cx="9413" cy="543800"/>
        </a:xfrm>
        <a:prstGeom prst="straightConnector1">
          <a:avLst/>
        </a:prstGeom>
        <a:noFill/>
        <a:ln w="6350" cap="flat" cmpd="sng" algn="ctr">
          <a:solidFill>
            <a:srgbClr val="5B9BD5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152400</xdr:colOff>
      <xdr:row>35</xdr:row>
      <xdr:rowOff>123824</xdr:rowOff>
    </xdr:from>
    <xdr:to>
      <xdr:col>3</xdr:col>
      <xdr:colOff>457200</xdr:colOff>
      <xdr:row>41</xdr:row>
      <xdr:rowOff>45974</xdr:rowOff>
    </xdr:to>
    <xdr:sp macro="" textlink="">
      <xdr:nvSpPr>
        <xdr:cNvPr id="418" name="Flowchart: Document 417">
          <a:extLst>
            <a:ext uri="{FF2B5EF4-FFF2-40B4-BE49-F238E27FC236}">
              <a16:creationId xmlns:a16="http://schemas.microsoft.com/office/drawing/2014/main" id="{D818055B-945B-4242-A501-60E6099607E5}"/>
            </a:ext>
          </a:extLst>
        </xdr:cNvPr>
        <xdr:cNvSpPr/>
      </xdr:nvSpPr>
      <xdr:spPr>
        <a:xfrm>
          <a:off x="1371600" y="6569074"/>
          <a:ext cx="914400" cy="1027050"/>
        </a:xfrm>
        <a:prstGeom prst="flowChartDocument">
          <a:avLst/>
        </a:prstGeom>
        <a:solidFill>
          <a:srgbClr val="5B9BD5"/>
        </a:solidFill>
        <a:ln w="12700" cap="flat" cmpd="sng" algn="ctr">
          <a:solidFill>
            <a:srgbClr val="5B9BD5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Power Cable or Winding Insulation Damaged</a:t>
          </a:r>
        </a:p>
      </xdr:txBody>
    </xdr:sp>
    <xdr:clientData/>
  </xdr:twoCellAnchor>
  <xdr:twoCellAnchor>
    <xdr:from>
      <xdr:col>4</xdr:col>
      <xdr:colOff>117474</xdr:colOff>
      <xdr:row>34</xdr:row>
      <xdr:rowOff>114295</xdr:rowOff>
    </xdr:from>
    <xdr:to>
      <xdr:col>6</xdr:col>
      <xdr:colOff>295499</xdr:colOff>
      <xdr:row>38</xdr:row>
      <xdr:rowOff>2395</xdr:rowOff>
    </xdr:to>
    <xdr:sp macro="" textlink="">
      <xdr:nvSpPr>
        <xdr:cNvPr id="419" name="Rectangle 418">
          <a:extLst>
            <a:ext uri="{FF2B5EF4-FFF2-40B4-BE49-F238E27FC236}">
              <a16:creationId xmlns:a16="http://schemas.microsoft.com/office/drawing/2014/main" id="{C151B0EA-465D-45F5-A0A8-C99FEAACDF9F}"/>
            </a:ext>
          </a:extLst>
        </xdr:cNvPr>
        <xdr:cNvSpPr/>
      </xdr:nvSpPr>
      <xdr:spPr>
        <a:xfrm>
          <a:off x="2555874" y="6375395"/>
          <a:ext cx="1397225" cy="624700"/>
        </a:xfrm>
        <a:prstGeom prst="rect">
          <a:avLst/>
        </a:prstGeom>
        <a:solidFill>
          <a:srgbClr val="5B9BD5"/>
        </a:solidFill>
        <a:ln w="12700" cap="flat" cmpd="sng" algn="ctr">
          <a:solidFill>
            <a:srgbClr val="5B9BD5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Check bearing grease condition &amp; perform greasing</a:t>
          </a:r>
        </a:p>
      </xdr:txBody>
    </xdr:sp>
    <xdr:clientData/>
  </xdr:twoCellAnchor>
  <xdr:twoCellAnchor>
    <xdr:from>
      <xdr:col>8</xdr:col>
      <xdr:colOff>469899</xdr:colOff>
      <xdr:row>34</xdr:row>
      <xdr:rowOff>117470</xdr:rowOff>
    </xdr:from>
    <xdr:to>
      <xdr:col>11</xdr:col>
      <xdr:colOff>45099</xdr:colOff>
      <xdr:row>38</xdr:row>
      <xdr:rowOff>2395</xdr:rowOff>
    </xdr:to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6DAB7B09-D816-415F-A2E1-54E1044D51B9}"/>
            </a:ext>
          </a:extLst>
        </xdr:cNvPr>
        <xdr:cNvSpPr/>
      </xdr:nvSpPr>
      <xdr:spPr>
        <a:xfrm>
          <a:off x="5346699" y="6378570"/>
          <a:ext cx="1404000" cy="621525"/>
        </a:xfrm>
        <a:prstGeom prst="rect">
          <a:avLst/>
        </a:prstGeom>
        <a:solidFill>
          <a:srgbClr val="5B9BD5"/>
        </a:solidFill>
        <a:ln w="12700" cap="flat" cmpd="sng" algn="ctr">
          <a:solidFill>
            <a:srgbClr val="5B9BD5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Mechanical Fault perform vibration analysis</a:t>
          </a:r>
        </a:p>
      </xdr:txBody>
    </xdr:sp>
    <xdr:clientData/>
  </xdr:twoCellAnchor>
  <xdr:twoCellAnchor>
    <xdr:from>
      <xdr:col>25</xdr:col>
      <xdr:colOff>14096</xdr:colOff>
      <xdr:row>13</xdr:row>
      <xdr:rowOff>106983</xdr:rowOff>
    </xdr:from>
    <xdr:to>
      <xdr:col>28</xdr:col>
      <xdr:colOff>232021</xdr:colOff>
      <xdr:row>18</xdr:row>
      <xdr:rowOff>95758</xdr:rowOff>
    </xdr:to>
    <xdr:sp macro="" textlink="">
      <xdr:nvSpPr>
        <xdr:cNvPr id="421" name="Flowchart: Decision 420">
          <a:extLst>
            <a:ext uri="{FF2B5EF4-FFF2-40B4-BE49-F238E27FC236}">
              <a16:creationId xmlns:a16="http://schemas.microsoft.com/office/drawing/2014/main" id="{3EB0ECB2-95D4-4F12-A1B6-7A81606F0C64}"/>
            </a:ext>
          </a:extLst>
        </xdr:cNvPr>
        <xdr:cNvSpPr/>
      </xdr:nvSpPr>
      <xdr:spPr>
        <a:xfrm>
          <a:off x="15254096" y="2500933"/>
          <a:ext cx="2046725" cy="909525"/>
        </a:xfrm>
        <a:prstGeom prst="flowChartDecision">
          <a:avLst/>
        </a:prstGeom>
        <a:solidFill>
          <a:srgbClr val="5B9BD5"/>
        </a:solidFill>
        <a:ln w="12700" cap="flat" cmpd="sng" algn="ctr">
          <a:solidFill>
            <a:srgbClr val="5B9BD5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Mill Feeder Abnormal Operation</a:t>
          </a:r>
        </a:p>
      </xdr:txBody>
    </xdr:sp>
    <xdr:clientData/>
  </xdr:twoCellAnchor>
  <xdr:twoCellAnchor>
    <xdr:from>
      <xdr:col>24</xdr:col>
      <xdr:colOff>250997</xdr:colOff>
      <xdr:row>16</xdr:row>
      <xdr:rowOff>9640</xdr:rowOff>
    </xdr:from>
    <xdr:to>
      <xdr:col>25</xdr:col>
      <xdr:colOff>14097</xdr:colOff>
      <xdr:row>20</xdr:row>
      <xdr:rowOff>113333</xdr:rowOff>
    </xdr:to>
    <xdr:cxnSp macro="">
      <xdr:nvCxnSpPr>
        <xdr:cNvPr id="422" name="Connector: Elbow 421">
          <a:extLst>
            <a:ext uri="{FF2B5EF4-FFF2-40B4-BE49-F238E27FC236}">
              <a16:creationId xmlns:a16="http://schemas.microsoft.com/office/drawing/2014/main" id="{31443D47-2096-4882-B5D2-C7937BDE482E}"/>
            </a:ext>
          </a:extLst>
        </xdr:cNvPr>
        <xdr:cNvCxnSpPr>
          <a:stCxn id="421" idx="1"/>
        </xdr:cNvCxnSpPr>
      </xdr:nvCxnSpPr>
      <xdr:spPr>
        <a:xfrm rot="10800000" flipV="1">
          <a:off x="14881397" y="2956040"/>
          <a:ext cx="372700" cy="840293"/>
        </a:xfrm>
        <a:prstGeom prst="bentConnector2">
          <a:avLst/>
        </a:prstGeom>
        <a:noFill/>
        <a:ln w="6350" cap="flat" cmpd="sng" algn="ctr">
          <a:solidFill>
            <a:srgbClr val="5B9BD5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17</xdr:col>
      <xdr:colOff>595583</xdr:colOff>
      <xdr:row>9</xdr:row>
      <xdr:rowOff>152392</xdr:rowOff>
    </xdr:from>
    <xdr:to>
      <xdr:col>20</xdr:col>
      <xdr:colOff>602783</xdr:colOff>
      <xdr:row>13</xdr:row>
      <xdr:rowOff>76492</xdr:rowOff>
    </xdr:to>
    <xdr:cxnSp macro="">
      <xdr:nvCxnSpPr>
        <xdr:cNvPr id="423" name="Connector: Elbow 422">
          <a:extLst>
            <a:ext uri="{FF2B5EF4-FFF2-40B4-BE49-F238E27FC236}">
              <a16:creationId xmlns:a16="http://schemas.microsoft.com/office/drawing/2014/main" id="{C68E3432-B2AC-40A5-B1C5-B8CA37C9896C}"/>
            </a:ext>
          </a:extLst>
        </xdr:cNvPr>
        <xdr:cNvCxnSpPr/>
      </xdr:nvCxnSpPr>
      <xdr:spPr>
        <a:xfrm rot="5400000">
          <a:off x="11546433" y="1222092"/>
          <a:ext cx="660700" cy="1836000"/>
        </a:xfrm>
        <a:prstGeom prst="bentConnector3">
          <a:avLst>
            <a:gd name="adj1" fmla="val 50000"/>
          </a:avLst>
        </a:prstGeom>
        <a:noFill/>
        <a:ln w="6350" cap="flat" cmpd="sng" algn="ctr">
          <a:solidFill>
            <a:srgbClr val="5B9BD5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20</xdr:col>
      <xdr:colOff>598078</xdr:colOff>
      <xdr:row>9</xdr:row>
      <xdr:rowOff>170941</xdr:rowOff>
    </xdr:from>
    <xdr:to>
      <xdr:col>26</xdr:col>
      <xdr:colOff>452150</xdr:colOff>
      <xdr:row>13</xdr:row>
      <xdr:rowOff>95041</xdr:rowOff>
    </xdr:to>
    <xdr:cxnSp macro="">
      <xdr:nvCxnSpPr>
        <xdr:cNvPr id="424" name="Connector: Elbow 423">
          <a:extLst>
            <a:ext uri="{FF2B5EF4-FFF2-40B4-BE49-F238E27FC236}">
              <a16:creationId xmlns:a16="http://schemas.microsoft.com/office/drawing/2014/main" id="{05C187C3-10F1-4C2E-B031-27F3AFC8F649}"/>
            </a:ext>
          </a:extLst>
        </xdr:cNvPr>
        <xdr:cNvCxnSpPr/>
      </xdr:nvCxnSpPr>
      <xdr:spPr>
        <a:xfrm rot="16200000" flipH="1">
          <a:off x="14215564" y="402805"/>
          <a:ext cx="660700" cy="3511672"/>
        </a:xfrm>
        <a:prstGeom prst="bentConnector3">
          <a:avLst>
            <a:gd name="adj1" fmla="val 45874"/>
          </a:avLst>
        </a:prstGeom>
        <a:noFill/>
        <a:ln w="6350" cap="flat" cmpd="sng" algn="ctr">
          <a:solidFill>
            <a:srgbClr val="5B9BD5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16</xdr:col>
      <xdr:colOff>22192</xdr:colOff>
      <xdr:row>13</xdr:row>
      <xdr:rowOff>69847</xdr:rowOff>
    </xdr:from>
    <xdr:to>
      <xdr:col>19</xdr:col>
      <xdr:colOff>569392</xdr:colOff>
      <xdr:row>21</xdr:row>
      <xdr:rowOff>68397</xdr:rowOff>
    </xdr:to>
    <xdr:sp macro="" textlink="">
      <xdr:nvSpPr>
        <xdr:cNvPr id="425" name="Flowchart: Decision 424">
          <a:extLst>
            <a:ext uri="{FF2B5EF4-FFF2-40B4-BE49-F238E27FC236}">
              <a16:creationId xmlns:a16="http://schemas.microsoft.com/office/drawing/2014/main" id="{B526A38C-8CC0-4D04-B9F5-D91B0D7C9972}"/>
            </a:ext>
          </a:extLst>
        </xdr:cNvPr>
        <xdr:cNvSpPr/>
      </xdr:nvSpPr>
      <xdr:spPr>
        <a:xfrm>
          <a:off x="9775792" y="2463797"/>
          <a:ext cx="2376000" cy="1471750"/>
        </a:xfrm>
        <a:prstGeom prst="flowChartDecision">
          <a:avLst/>
        </a:prstGeom>
        <a:solidFill>
          <a:srgbClr val="5B9BD5"/>
        </a:solidFill>
        <a:ln w="12700" cap="flat" cmpd="sng" algn="ctr">
          <a:solidFill>
            <a:srgbClr val="5B9BD5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Mill DE / NDE / Thrust bearing temperature high</a:t>
          </a:r>
        </a:p>
      </xdr:txBody>
    </xdr:sp>
    <xdr:clientData/>
  </xdr:twoCellAnchor>
  <xdr:twoCellAnchor>
    <xdr:from>
      <xdr:col>15</xdr:col>
      <xdr:colOff>287804</xdr:colOff>
      <xdr:row>17</xdr:row>
      <xdr:rowOff>73469</xdr:rowOff>
    </xdr:from>
    <xdr:to>
      <xdr:col>16</xdr:col>
      <xdr:colOff>41243</xdr:colOff>
      <xdr:row>23</xdr:row>
      <xdr:rowOff>142794</xdr:rowOff>
    </xdr:to>
    <xdr:cxnSp macro="">
      <xdr:nvCxnSpPr>
        <xdr:cNvPr id="426" name="Connector: Elbow 425">
          <a:extLst>
            <a:ext uri="{FF2B5EF4-FFF2-40B4-BE49-F238E27FC236}">
              <a16:creationId xmlns:a16="http://schemas.microsoft.com/office/drawing/2014/main" id="{758E5AA1-5658-44FA-B86C-E6A28FEA05FA}"/>
            </a:ext>
          </a:extLst>
        </xdr:cNvPr>
        <xdr:cNvCxnSpPr/>
      </xdr:nvCxnSpPr>
      <xdr:spPr>
        <a:xfrm rot="10800000" flipV="1">
          <a:off x="9431804" y="3204019"/>
          <a:ext cx="363039" cy="1174225"/>
        </a:xfrm>
        <a:prstGeom prst="bentConnector2">
          <a:avLst/>
        </a:prstGeom>
        <a:noFill/>
        <a:ln w="6350" cap="flat" cmpd="sng" algn="ctr">
          <a:solidFill>
            <a:srgbClr val="5B9BD5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19</xdr:col>
      <xdr:colOff>560808</xdr:colOff>
      <xdr:row>17</xdr:row>
      <xdr:rowOff>63913</xdr:rowOff>
    </xdr:from>
    <xdr:to>
      <xdr:col>28</xdr:col>
      <xdr:colOff>312265</xdr:colOff>
      <xdr:row>65</xdr:row>
      <xdr:rowOff>141056</xdr:rowOff>
    </xdr:to>
    <xdr:cxnSp macro="">
      <xdr:nvCxnSpPr>
        <xdr:cNvPr id="427" name="Connector: Elbow 426">
          <a:extLst>
            <a:ext uri="{FF2B5EF4-FFF2-40B4-BE49-F238E27FC236}">
              <a16:creationId xmlns:a16="http://schemas.microsoft.com/office/drawing/2014/main" id="{D346BE44-191E-44AF-A465-7F341538A936}"/>
            </a:ext>
          </a:extLst>
        </xdr:cNvPr>
        <xdr:cNvCxnSpPr/>
      </xdr:nvCxnSpPr>
      <xdr:spPr>
        <a:xfrm rot="16200000" flipH="1">
          <a:off x="10303965" y="5033706"/>
          <a:ext cx="8916343" cy="5237857"/>
        </a:xfrm>
        <a:prstGeom prst="bentConnector3">
          <a:avLst>
            <a:gd name="adj1" fmla="val 32804"/>
          </a:avLst>
        </a:prstGeom>
        <a:noFill/>
        <a:ln w="6350" cap="flat" cmpd="sng" algn="ctr">
          <a:solidFill>
            <a:srgbClr val="5B9BD5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11</xdr:col>
      <xdr:colOff>565149</xdr:colOff>
      <xdr:row>32</xdr:row>
      <xdr:rowOff>155570</xdr:rowOff>
    </xdr:from>
    <xdr:to>
      <xdr:col>14</xdr:col>
      <xdr:colOff>140349</xdr:colOff>
      <xdr:row>36</xdr:row>
      <xdr:rowOff>40495</xdr:rowOff>
    </xdr:to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E60EF36D-7141-494B-83B3-42CF7CAD675D}"/>
            </a:ext>
          </a:extLst>
        </xdr:cNvPr>
        <xdr:cNvSpPr/>
      </xdr:nvSpPr>
      <xdr:spPr>
        <a:xfrm>
          <a:off x="7270749" y="6048370"/>
          <a:ext cx="1404000" cy="621525"/>
        </a:xfrm>
        <a:prstGeom prst="rect">
          <a:avLst/>
        </a:prstGeom>
        <a:solidFill>
          <a:srgbClr val="5B9BD5"/>
        </a:solidFill>
        <a:ln w="12700" cap="flat" cmpd="sng" algn="ctr">
          <a:solidFill>
            <a:srgbClr val="5B9BD5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Check oil quality or replace oil</a:t>
          </a:r>
        </a:p>
      </xdr:txBody>
    </xdr:sp>
    <xdr:clientData/>
  </xdr:twoCellAnchor>
  <xdr:twoCellAnchor>
    <xdr:from>
      <xdr:col>13</xdr:col>
      <xdr:colOff>393668</xdr:colOff>
      <xdr:row>23</xdr:row>
      <xdr:rowOff>171449</xdr:rowOff>
    </xdr:from>
    <xdr:to>
      <xdr:col>17</xdr:col>
      <xdr:colOff>226443</xdr:colOff>
      <xdr:row>28</xdr:row>
      <xdr:rowOff>173774</xdr:rowOff>
    </xdr:to>
    <xdr:sp macro="" textlink="">
      <xdr:nvSpPr>
        <xdr:cNvPr id="429" name="Flowchart: Decision 428">
          <a:extLst>
            <a:ext uri="{FF2B5EF4-FFF2-40B4-BE49-F238E27FC236}">
              <a16:creationId xmlns:a16="http://schemas.microsoft.com/office/drawing/2014/main" id="{DC6C0452-7975-440B-B8F3-028A3E0ADF6F}"/>
            </a:ext>
          </a:extLst>
        </xdr:cNvPr>
        <xdr:cNvSpPr/>
      </xdr:nvSpPr>
      <xdr:spPr>
        <a:xfrm>
          <a:off x="8318468" y="4406899"/>
          <a:ext cx="2271175" cy="923075"/>
        </a:xfrm>
        <a:prstGeom prst="flowChartDecision">
          <a:avLst/>
        </a:prstGeom>
        <a:solidFill>
          <a:srgbClr val="5B9BD5"/>
        </a:solidFill>
        <a:ln w="12700" cap="flat" cmpd="sng" algn="ctr">
          <a:solidFill>
            <a:srgbClr val="5B9BD5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Check Bearing Oil Temperature </a:t>
          </a:r>
          <a:endParaRPr kumimoji="0" lang="en-IN" sz="18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17929</xdr:colOff>
      <xdr:row>26</xdr:row>
      <xdr:rowOff>86169</xdr:rowOff>
    </xdr:from>
    <xdr:to>
      <xdr:col>13</xdr:col>
      <xdr:colOff>380968</xdr:colOff>
      <xdr:row>32</xdr:row>
      <xdr:rowOff>152319</xdr:rowOff>
    </xdr:to>
    <xdr:cxnSp macro="">
      <xdr:nvCxnSpPr>
        <xdr:cNvPr id="430" name="Connector: Elbow 429">
          <a:extLst>
            <a:ext uri="{FF2B5EF4-FFF2-40B4-BE49-F238E27FC236}">
              <a16:creationId xmlns:a16="http://schemas.microsoft.com/office/drawing/2014/main" id="{9127DC44-E170-4F40-968D-CDCF8707E59C}"/>
            </a:ext>
          </a:extLst>
        </xdr:cNvPr>
        <xdr:cNvCxnSpPr/>
      </xdr:nvCxnSpPr>
      <xdr:spPr>
        <a:xfrm rot="10800000" flipV="1">
          <a:off x="7942729" y="4874069"/>
          <a:ext cx="363039" cy="1171050"/>
        </a:xfrm>
        <a:prstGeom prst="bentConnector2">
          <a:avLst/>
        </a:prstGeom>
        <a:noFill/>
        <a:ln w="6350" cap="flat" cmpd="sng" algn="ctr">
          <a:solidFill>
            <a:srgbClr val="5B9BD5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17</xdr:col>
      <xdr:colOff>217903</xdr:colOff>
      <xdr:row>26</xdr:row>
      <xdr:rowOff>88041</xdr:rowOff>
    </xdr:from>
    <xdr:to>
      <xdr:col>17</xdr:col>
      <xdr:colOff>577903</xdr:colOff>
      <xdr:row>32</xdr:row>
      <xdr:rowOff>154191</xdr:rowOff>
    </xdr:to>
    <xdr:cxnSp macro="">
      <xdr:nvCxnSpPr>
        <xdr:cNvPr id="431" name="Connector: Elbow 430">
          <a:extLst>
            <a:ext uri="{FF2B5EF4-FFF2-40B4-BE49-F238E27FC236}">
              <a16:creationId xmlns:a16="http://schemas.microsoft.com/office/drawing/2014/main" id="{84D7EF1D-ADC2-4996-B1AB-99DC7AE96309}"/>
            </a:ext>
          </a:extLst>
        </xdr:cNvPr>
        <xdr:cNvCxnSpPr/>
      </xdr:nvCxnSpPr>
      <xdr:spPr>
        <a:xfrm>
          <a:off x="10581103" y="4875941"/>
          <a:ext cx="360000" cy="1171050"/>
        </a:xfrm>
        <a:prstGeom prst="bentConnector2">
          <a:avLst/>
        </a:prstGeom>
        <a:noFill/>
        <a:ln w="6350" cap="flat" cmpd="sng" algn="ctr">
          <a:solidFill>
            <a:srgbClr val="5B9BD5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16</xdr:col>
      <xdr:colOff>294833</xdr:colOff>
      <xdr:row>32</xdr:row>
      <xdr:rowOff>155574</xdr:rowOff>
    </xdr:from>
    <xdr:to>
      <xdr:col>19</xdr:col>
      <xdr:colOff>255019</xdr:colOff>
      <xdr:row>37</xdr:row>
      <xdr:rowOff>151549</xdr:rowOff>
    </xdr:to>
    <xdr:sp macro="" textlink="">
      <xdr:nvSpPr>
        <xdr:cNvPr id="432" name="Flowchart: Decision 431">
          <a:extLst>
            <a:ext uri="{FF2B5EF4-FFF2-40B4-BE49-F238E27FC236}">
              <a16:creationId xmlns:a16="http://schemas.microsoft.com/office/drawing/2014/main" id="{11FBD1CF-6510-4126-B8ED-98A80193D94E}"/>
            </a:ext>
          </a:extLst>
        </xdr:cNvPr>
        <xdr:cNvSpPr/>
      </xdr:nvSpPr>
      <xdr:spPr>
        <a:xfrm>
          <a:off x="10048433" y="6048374"/>
          <a:ext cx="1788986" cy="916725"/>
        </a:xfrm>
        <a:prstGeom prst="flowChartDecision">
          <a:avLst/>
        </a:prstGeom>
        <a:solidFill>
          <a:srgbClr val="5B9BD5"/>
        </a:solidFill>
        <a:ln w="12700" cap="flat" cmpd="sng" algn="ctr">
          <a:solidFill>
            <a:srgbClr val="5B9BD5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8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Check oil level</a:t>
          </a:r>
        </a:p>
      </xdr:txBody>
    </xdr:sp>
    <xdr:clientData/>
  </xdr:twoCellAnchor>
  <xdr:twoCellAnchor>
    <xdr:from>
      <xdr:col>15</xdr:col>
      <xdr:colOff>548441</xdr:colOff>
      <xdr:row>35</xdr:row>
      <xdr:rowOff>67119</xdr:rowOff>
    </xdr:from>
    <xdr:to>
      <xdr:col>16</xdr:col>
      <xdr:colOff>295530</xdr:colOff>
      <xdr:row>41</xdr:row>
      <xdr:rowOff>136444</xdr:rowOff>
    </xdr:to>
    <xdr:cxnSp macro="">
      <xdr:nvCxnSpPr>
        <xdr:cNvPr id="433" name="Connector: Elbow 432">
          <a:extLst>
            <a:ext uri="{FF2B5EF4-FFF2-40B4-BE49-F238E27FC236}">
              <a16:creationId xmlns:a16="http://schemas.microsoft.com/office/drawing/2014/main" id="{3DC96B3B-3B79-4A4D-8A26-B57DCB1130E0}"/>
            </a:ext>
          </a:extLst>
        </xdr:cNvPr>
        <xdr:cNvCxnSpPr/>
      </xdr:nvCxnSpPr>
      <xdr:spPr>
        <a:xfrm rot="10800000" flipV="1">
          <a:off x="9692441" y="6512369"/>
          <a:ext cx="356689" cy="1174225"/>
        </a:xfrm>
        <a:prstGeom prst="bentConnector2">
          <a:avLst/>
        </a:prstGeom>
        <a:noFill/>
        <a:ln w="6350" cap="flat" cmpd="sng" algn="ctr">
          <a:solidFill>
            <a:srgbClr val="5B9BD5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19</xdr:col>
      <xdr:colOff>257074</xdr:colOff>
      <xdr:row>35</xdr:row>
      <xdr:rowOff>65817</xdr:rowOff>
    </xdr:from>
    <xdr:to>
      <xdr:col>20</xdr:col>
      <xdr:colOff>4161</xdr:colOff>
      <xdr:row>41</xdr:row>
      <xdr:rowOff>135142</xdr:rowOff>
    </xdr:to>
    <xdr:cxnSp macro="">
      <xdr:nvCxnSpPr>
        <xdr:cNvPr id="434" name="Connector: Elbow 433">
          <a:extLst>
            <a:ext uri="{FF2B5EF4-FFF2-40B4-BE49-F238E27FC236}">
              <a16:creationId xmlns:a16="http://schemas.microsoft.com/office/drawing/2014/main" id="{914BCE7F-1BDE-4601-82FB-98CABDB324E7}"/>
            </a:ext>
          </a:extLst>
        </xdr:cNvPr>
        <xdr:cNvCxnSpPr/>
      </xdr:nvCxnSpPr>
      <xdr:spPr>
        <a:xfrm>
          <a:off x="11839474" y="6511067"/>
          <a:ext cx="356687" cy="1174225"/>
        </a:xfrm>
        <a:prstGeom prst="bentConnector2">
          <a:avLst/>
        </a:prstGeom>
        <a:noFill/>
        <a:ln w="6350" cap="flat" cmpd="sng" algn="ctr">
          <a:solidFill>
            <a:srgbClr val="5B9BD5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14</xdr:col>
      <xdr:colOff>460788</xdr:colOff>
      <xdr:row>41</xdr:row>
      <xdr:rowOff>147426</xdr:rowOff>
    </xdr:from>
    <xdr:to>
      <xdr:col>17</xdr:col>
      <xdr:colOff>35989</xdr:colOff>
      <xdr:row>45</xdr:row>
      <xdr:rowOff>32350</xdr:rowOff>
    </xdr:to>
    <xdr:sp macro="" textlink="">
      <xdr:nvSpPr>
        <xdr:cNvPr id="435" name="Rectangle 434">
          <a:extLst>
            <a:ext uri="{FF2B5EF4-FFF2-40B4-BE49-F238E27FC236}">
              <a16:creationId xmlns:a16="http://schemas.microsoft.com/office/drawing/2014/main" id="{4DDDB312-BCA1-499C-A48F-0C157409FFAF}"/>
            </a:ext>
          </a:extLst>
        </xdr:cNvPr>
        <xdr:cNvSpPr/>
      </xdr:nvSpPr>
      <xdr:spPr>
        <a:xfrm>
          <a:off x="8995188" y="7697576"/>
          <a:ext cx="1404001" cy="621524"/>
        </a:xfrm>
        <a:prstGeom prst="rect">
          <a:avLst/>
        </a:prstGeom>
        <a:solidFill>
          <a:srgbClr val="5B9BD5"/>
        </a:solidFill>
        <a:ln w="12700" cap="flat" cmpd="sng" algn="ctr">
          <a:solidFill>
            <a:srgbClr val="5B9BD5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Top-up oil upto normal level</a:t>
          </a:r>
        </a:p>
      </xdr:txBody>
    </xdr:sp>
    <xdr:clientData/>
  </xdr:twoCellAnchor>
  <xdr:twoCellAnchor>
    <xdr:from>
      <xdr:col>21</xdr:col>
      <xdr:colOff>426012</xdr:colOff>
      <xdr:row>45</xdr:row>
      <xdr:rowOff>7975</xdr:rowOff>
    </xdr:from>
    <xdr:to>
      <xdr:col>24</xdr:col>
      <xdr:colOff>281048</xdr:colOff>
      <xdr:row>51</xdr:row>
      <xdr:rowOff>30671</xdr:rowOff>
    </xdr:to>
    <xdr:cxnSp macro="">
      <xdr:nvCxnSpPr>
        <xdr:cNvPr id="436" name="Connector: Elbow 435">
          <a:extLst>
            <a:ext uri="{FF2B5EF4-FFF2-40B4-BE49-F238E27FC236}">
              <a16:creationId xmlns:a16="http://schemas.microsoft.com/office/drawing/2014/main" id="{DAB0F33F-7F2E-4F39-B6D4-A341E90CDCD2}"/>
            </a:ext>
          </a:extLst>
        </xdr:cNvPr>
        <xdr:cNvCxnSpPr/>
      </xdr:nvCxnSpPr>
      <xdr:spPr>
        <a:xfrm>
          <a:off x="13227612" y="8294725"/>
          <a:ext cx="1683836" cy="1127596"/>
        </a:xfrm>
        <a:prstGeom prst="bentConnector2">
          <a:avLst/>
        </a:prstGeom>
        <a:noFill/>
        <a:ln w="6350" cap="flat" cmpd="sng" algn="ctr">
          <a:solidFill>
            <a:srgbClr val="5B9BD5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18</xdr:col>
      <xdr:colOff>238223</xdr:colOff>
      <xdr:row>41</xdr:row>
      <xdr:rowOff>145488</xdr:rowOff>
    </xdr:from>
    <xdr:to>
      <xdr:col>21</xdr:col>
      <xdr:colOff>428184</xdr:colOff>
      <xdr:row>48</xdr:row>
      <xdr:rowOff>87616</xdr:rowOff>
    </xdr:to>
    <xdr:sp macro="" textlink="">
      <xdr:nvSpPr>
        <xdr:cNvPr id="437" name="Flowchart: Decision 436">
          <a:extLst>
            <a:ext uri="{FF2B5EF4-FFF2-40B4-BE49-F238E27FC236}">
              <a16:creationId xmlns:a16="http://schemas.microsoft.com/office/drawing/2014/main" id="{9B2F516E-A7E7-4F3A-93F0-B63F9272AB52}"/>
            </a:ext>
          </a:extLst>
        </xdr:cNvPr>
        <xdr:cNvSpPr/>
      </xdr:nvSpPr>
      <xdr:spPr>
        <a:xfrm>
          <a:off x="11211023" y="7695638"/>
          <a:ext cx="2018761" cy="1231178"/>
        </a:xfrm>
        <a:prstGeom prst="flowChartDecision">
          <a:avLst/>
        </a:prstGeom>
        <a:solidFill>
          <a:srgbClr val="5B9BD5"/>
        </a:solidFill>
        <a:ln w="12700" cap="flat" cmpd="sng" algn="ctr">
          <a:solidFill>
            <a:srgbClr val="5B9BD5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8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Check CCCW Cooling water flow</a:t>
          </a:r>
        </a:p>
      </xdr:txBody>
    </xdr:sp>
    <xdr:clientData/>
  </xdr:twoCellAnchor>
  <xdr:twoCellAnchor>
    <xdr:from>
      <xdr:col>17</xdr:col>
      <xdr:colOff>468928</xdr:colOff>
      <xdr:row>45</xdr:row>
      <xdr:rowOff>6104</xdr:rowOff>
    </xdr:from>
    <xdr:to>
      <xdr:col>18</xdr:col>
      <xdr:colOff>216017</xdr:colOff>
      <xdr:row>51</xdr:row>
      <xdr:rowOff>78604</xdr:rowOff>
    </xdr:to>
    <xdr:cxnSp macro="">
      <xdr:nvCxnSpPr>
        <xdr:cNvPr id="438" name="Connector: Elbow 437">
          <a:extLst>
            <a:ext uri="{FF2B5EF4-FFF2-40B4-BE49-F238E27FC236}">
              <a16:creationId xmlns:a16="http://schemas.microsoft.com/office/drawing/2014/main" id="{F4E36026-66C2-40B7-8ADC-33BB46038A32}"/>
            </a:ext>
          </a:extLst>
        </xdr:cNvPr>
        <xdr:cNvCxnSpPr/>
      </xdr:nvCxnSpPr>
      <xdr:spPr>
        <a:xfrm rot="10800000" flipV="1">
          <a:off x="10832128" y="8292854"/>
          <a:ext cx="356689" cy="1177400"/>
        </a:xfrm>
        <a:prstGeom prst="bentConnector2">
          <a:avLst/>
        </a:prstGeom>
        <a:noFill/>
        <a:ln w="6350" cap="flat" cmpd="sng" algn="ctr">
          <a:solidFill>
            <a:srgbClr val="5B9BD5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15</xdr:col>
      <xdr:colOff>455500</xdr:colOff>
      <xdr:row>51</xdr:row>
      <xdr:rowOff>77986</xdr:rowOff>
    </xdr:from>
    <xdr:to>
      <xdr:col>19</xdr:col>
      <xdr:colOff>451848</xdr:colOff>
      <xdr:row>58</xdr:row>
      <xdr:rowOff>134464</xdr:rowOff>
    </xdr:to>
    <xdr:sp macro="" textlink="">
      <xdr:nvSpPr>
        <xdr:cNvPr id="439" name="Flowchart: Decision 438">
          <a:extLst>
            <a:ext uri="{FF2B5EF4-FFF2-40B4-BE49-F238E27FC236}">
              <a16:creationId xmlns:a16="http://schemas.microsoft.com/office/drawing/2014/main" id="{1418939C-F286-4294-AF04-2D30A7875A9E}"/>
            </a:ext>
          </a:extLst>
        </xdr:cNvPr>
        <xdr:cNvSpPr/>
      </xdr:nvSpPr>
      <xdr:spPr>
        <a:xfrm>
          <a:off x="9599500" y="9469636"/>
          <a:ext cx="2434748" cy="1345528"/>
        </a:xfrm>
        <a:prstGeom prst="flowChartDecision">
          <a:avLst/>
        </a:prstGeom>
        <a:solidFill>
          <a:srgbClr val="5B9BD5"/>
        </a:solidFill>
        <a:ln w="12700" cap="flat" cmpd="sng" algn="ctr">
          <a:solidFill>
            <a:srgbClr val="5B9BD5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8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Check cooler inlet outlet manual valve</a:t>
          </a:r>
        </a:p>
      </xdr:txBody>
    </xdr:sp>
    <xdr:clientData/>
  </xdr:twoCellAnchor>
  <xdr:twoCellAnchor>
    <xdr:from>
      <xdr:col>18</xdr:col>
      <xdr:colOff>574221</xdr:colOff>
      <xdr:row>59</xdr:row>
      <xdr:rowOff>11178</xdr:rowOff>
    </xdr:from>
    <xdr:to>
      <xdr:col>21</xdr:col>
      <xdr:colOff>150013</xdr:colOff>
      <xdr:row>62</xdr:row>
      <xdr:rowOff>78321</xdr:rowOff>
    </xdr:to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EC882585-DABF-4BF9-BB0D-7990CAD25197}"/>
            </a:ext>
          </a:extLst>
        </xdr:cNvPr>
        <xdr:cNvSpPr/>
      </xdr:nvSpPr>
      <xdr:spPr>
        <a:xfrm>
          <a:off x="11547021" y="10876028"/>
          <a:ext cx="1404592" cy="619593"/>
        </a:xfrm>
        <a:prstGeom prst="rect">
          <a:avLst/>
        </a:prstGeom>
        <a:solidFill>
          <a:srgbClr val="5B9BD5"/>
        </a:solidFill>
        <a:ln w="12700" cap="flat" cmpd="sng" algn="ctr">
          <a:solidFill>
            <a:srgbClr val="5B9BD5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Open the valves and establish flow through cooler</a:t>
          </a:r>
          <a:endParaRPr kumimoji="0" lang="en-IN" sz="18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IN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609475</xdr:colOff>
      <xdr:row>55</xdr:row>
      <xdr:rowOff>6559</xdr:rowOff>
    </xdr:from>
    <xdr:to>
      <xdr:col>15</xdr:col>
      <xdr:colOff>427649</xdr:colOff>
      <xdr:row>56</xdr:row>
      <xdr:rowOff>37167</xdr:rowOff>
    </xdr:to>
    <xdr:cxnSp macro="">
      <xdr:nvCxnSpPr>
        <xdr:cNvPr id="441" name="Connector: Elbow 440">
          <a:extLst>
            <a:ext uri="{FF2B5EF4-FFF2-40B4-BE49-F238E27FC236}">
              <a16:creationId xmlns:a16="http://schemas.microsoft.com/office/drawing/2014/main" id="{3B4A7C03-B3F5-47EF-9141-2EC18510061B}"/>
            </a:ext>
          </a:extLst>
        </xdr:cNvPr>
        <xdr:cNvCxnSpPr/>
      </xdr:nvCxnSpPr>
      <xdr:spPr>
        <a:xfrm rot="10800000" flipV="1">
          <a:off x="8534275" y="10134809"/>
          <a:ext cx="1037374" cy="214758"/>
        </a:xfrm>
        <a:prstGeom prst="bentConnector2">
          <a:avLst/>
        </a:prstGeom>
        <a:noFill/>
        <a:ln w="6350" cap="flat" cmpd="sng" algn="ctr">
          <a:solidFill>
            <a:srgbClr val="5B9BD5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13</xdr:col>
      <xdr:colOff>169790</xdr:colOff>
      <xdr:row>56</xdr:row>
      <xdr:rowOff>28988</xdr:rowOff>
    </xdr:from>
    <xdr:to>
      <xdr:col>14</xdr:col>
      <xdr:colOff>474590</xdr:colOff>
      <xdr:row>61</xdr:row>
      <xdr:rowOff>133355</xdr:rowOff>
    </xdr:to>
    <xdr:sp macro="" textlink="">
      <xdr:nvSpPr>
        <xdr:cNvPr id="442" name="Flowchart: Document 441">
          <a:extLst>
            <a:ext uri="{FF2B5EF4-FFF2-40B4-BE49-F238E27FC236}">
              <a16:creationId xmlns:a16="http://schemas.microsoft.com/office/drawing/2014/main" id="{AC670FD5-90EC-45D2-BDC4-48BE328B48A0}"/>
            </a:ext>
          </a:extLst>
        </xdr:cNvPr>
        <xdr:cNvSpPr/>
      </xdr:nvSpPr>
      <xdr:spPr>
        <a:xfrm>
          <a:off x="8094590" y="10341388"/>
          <a:ext cx="914400" cy="1025117"/>
        </a:xfrm>
        <a:prstGeom prst="flowChartDocument">
          <a:avLst/>
        </a:prstGeom>
        <a:solidFill>
          <a:srgbClr val="5B9BD5"/>
        </a:solidFill>
        <a:ln w="12700" cap="flat" cmpd="sng" algn="ctr">
          <a:solidFill>
            <a:srgbClr val="5B9BD5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Check CCCW water pump</a:t>
          </a:r>
        </a:p>
      </xdr:txBody>
    </xdr:sp>
    <xdr:clientData/>
  </xdr:twoCellAnchor>
  <xdr:twoCellAnchor>
    <xdr:from>
      <xdr:col>19</xdr:col>
      <xdr:colOff>464410</xdr:colOff>
      <xdr:row>55</xdr:row>
      <xdr:rowOff>11289</xdr:rowOff>
    </xdr:from>
    <xdr:to>
      <xdr:col>20</xdr:col>
      <xdr:colOff>32088</xdr:colOff>
      <xdr:row>59</xdr:row>
      <xdr:rowOff>2420</xdr:rowOff>
    </xdr:to>
    <xdr:cxnSp macro="">
      <xdr:nvCxnSpPr>
        <xdr:cNvPr id="443" name="Connector: Elbow 442">
          <a:extLst>
            <a:ext uri="{FF2B5EF4-FFF2-40B4-BE49-F238E27FC236}">
              <a16:creationId xmlns:a16="http://schemas.microsoft.com/office/drawing/2014/main" id="{9EB23663-1652-4A79-B927-79E74152A507}"/>
            </a:ext>
          </a:extLst>
        </xdr:cNvPr>
        <xdr:cNvCxnSpPr/>
      </xdr:nvCxnSpPr>
      <xdr:spPr>
        <a:xfrm>
          <a:off x="12046810" y="10139539"/>
          <a:ext cx="177278" cy="727731"/>
        </a:xfrm>
        <a:prstGeom prst="bentConnector2">
          <a:avLst/>
        </a:prstGeom>
        <a:noFill/>
        <a:ln w="6350" cap="flat" cmpd="sng" algn="ctr">
          <a:solidFill>
            <a:srgbClr val="5B9BD5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25</xdr:col>
      <xdr:colOff>259444</xdr:colOff>
      <xdr:row>58</xdr:row>
      <xdr:rowOff>82684</xdr:rowOff>
    </xdr:from>
    <xdr:to>
      <xdr:col>27</xdr:col>
      <xdr:colOff>460257</xdr:colOff>
      <xdr:row>61</xdr:row>
      <xdr:rowOff>153002</xdr:rowOff>
    </xdr:to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01F3159E-C104-4066-A901-701C74C5B487}"/>
            </a:ext>
          </a:extLst>
        </xdr:cNvPr>
        <xdr:cNvSpPr/>
      </xdr:nvSpPr>
      <xdr:spPr>
        <a:xfrm>
          <a:off x="15499444" y="10763384"/>
          <a:ext cx="1420013" cy="622768"/>
        </a:xfrm>
        <a:prstGeom prst="rect">
          <a:avLst/>
        </a:prstGeom>
        <a:solidFill>
          <a:srgbClr val="5B9BD5"/>
        </a:solidFill>
        <a:ln w="12700" cap="flat" cmpd="sng" algn="ctr">
          <a:solidFill>
            <a:srgbClr val="5B9BD5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Perform vibration analysis of lube oil pump</a:t>
          </a:r>
          <a:endParaRPr kumimoji="0" lang="en-IN" sz="18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IN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506741</xdr:colOff>
      <xdr:row>51</xdr:row>
      <xdr:rowOff>21387</xdr:rowOff>
    </xdr:from>
    <xdr:to>
      <xdr:col>26</xdr:col>
      <xdr:colOff>87555</xdr:colOff>
      <xdr:row>57</xdr:row>
      <xdr:rowOff>145733</xdr:rowOff>
    </xdr:to>
    <xdr:sp macro="" textlink="">
      <xdr:nvSpPr>
        <xdr:cNvPr id="445" name="Flowchart: Decision 444">
          <a:extLst>
            <a:ext uri="{FF2B5EF4-FFF2-40B4-BE49-F238E27FC236}">
              <a16:creationId xmlns:a16="http://schemas.microsoft.com/office/drawing/2014/main" id="{D1D7BB86-C806-400E-8A3D-8C8A24E422C0}"/>
            </a:ext>
          </a:extLst>
        </xdr:cNvPr>
        <xdr:cNvSpPr/>
      </xdr:nvSpPr>
      <xdr:spPr>
        <a:xfrm>
          <a:off x="13917941" y="9413037"/>
          <a:ext cx="2019214" cy="1229246"/>
        </a:xfrm>
        <a:prstGeom prst="flowChartDecision">
          <a:avLst/>
        </a:prstGeom>
        <a:solidFill>
          <a:srgbClr val="5B9BD5"/>
        </a:solidFill>
        <a:ln w="12700" cap="flat" cmpd="sng" algn="ctr">
          <a:solidFill>
            <a:srgbClr val="5B9BD5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8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Check Lube oil pressure</a:t>
          </a:r>
        </a:p>
      </xdr:txBody>
    </xdr:sp>
    <xdr:clientData/>
  </xdr:twoCellAnchor>
  <xdr:twoCellAnchor>
    <xdr:from>
      <xdr:col>22</xdr:col>
      <xdr:colOff>176405</xdr:colOff>
      <xdr:row>54</xdr:row>
      <xdr:rowOff>88378</xdr:rowOff>
    </xdr:from>
    <xdr:to>
      <xdr:col>22</xdr:col>
      <xdr:colOff>478180</xdr:colOff>
      <xdr:row>60</xdr:row>
      <xdr:rowOff>145003</xdr:rowOff>
    </xdr:to>
    <xdr:cxnSp macro="">
      <xdr:nvCxnSpPr>
        <xdr:cNvPr id="446" name="Connector: Elbow 445">
          <a:extLst>
            <a:ext uri="{FF2B5EF4-FFF2-40B4-BE49-F238E27FC236}">
              <a16:creationId xmlns:a16="http://schemas.microsoft.com/office/drawing/2014/main" id="{C4DAE2FF-4DC9-438C-95D5-11F0254E478C}"/>
            </a:ext>
          </a:extLst>
        </xdr:cNvPr>
        <xdr:cNvCxnSpPr/>
      </xdr:nvCxnSpPr>
      <xdr:spPr>
        <a:xfrm rot="10800000" flipV="1">
          <a:off x="13587605" y="10032478"/>
          <a:ext cx="301775" cy="1161525"/>
        </a:xfrm>
        <a:prstGeom prst="bentConnector2">
          <a:avLst/>
        </a:prstGeom>
        <a:noFill/>
        <a:ln w="6350" cap="flat" cmpd="sng" algn="ctr">
          <a:solidFill>
            <a:srgbClr val="5B9BD5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26</xdr:col>
      <xdr:colOff>97215</xdr:colOff>
      <xdr:row>54</xdr:row>
      <xdr:rowOff>87214</xdr:rowOff>
    </xdr:from>
    <xdr:to>
      <xdr:col>26</xdr:col>
      <xdr:colOff>277215</xdr:colOff>
      <xdr:row>58</xdr:row>
      <xdr:rowOff>65644</xdr:rowOff>
    </xdr:to>
    <xdr:cxnSp macro="">
      <xdr:nvCxnSpPr>
        <xdr:cNvPr id="447" name="Connector: Elbow 446">
          <a:extLst>
            <a:ext uri="{FF2B5EF4-FFF2-40B4-BE49-F238E27FC236}">
              <a16:creationId xmlns:a16="http://schemas.microsoft.com/office/drawing/2014/main" id="{01551485-D438-464C-91E7-84316336A25F}"/>
            </a:ext>
          </a:extLst>
        </xdr:cNvPr>
        <xdr:cNvCxnSpPr/>
      </xdr:nvCxnSpPr>
      <xdr:spPr>
        <a:xfrm>
          <a:off x="15946815" y="10031314"/>
          <a:ext cx="180000" cy="715030"/>
        </a:xfrm>
        <a:prstGeom prst="bentConnector2">
          <a:avLst/>
        </a:prstGeom>
        <a:noFill/>
        <a:ln w="6350" cap="flat" cmpd="sng" algn="ctr">
          <a:solidFill>
            <a:srgbClr val="5B9BD5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21</xdr:col>
      <xdr:colOff>224260</xdr:colOff>
      <xdr:row>60</xdr:row>
      <xdr:rowOff>159515</xdr:rowOff>
    </xdr:from>
    <xdr:to>
      <xdr:col>23</xdr:col>
      <xdr:colOff>405431</xdr:colOff>
      <xdr:row>64</xdr:row>
      <xdr:rowOff>60315</xdr:rowOff>
    </xdr:to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F1A138D7-F55C-44F2-AFE6-BFCA4BE6247F}"/>
            </a:ext>
          </a:extLst>
        </xdr:cNvPr>
        <xdr:cNvSpPr/>
      </xdr:nvSpPr>
      <xdr:spPr>
        <a:xfrm>
          <a:off x="13025860" y="11208515"/>
          <a:ext cx="1400371" cy="637400"/>
        </a:xfrm>
        <a:prstGeom prst="rect">
          <a:avLst/>
        </a:prstGeom>
        <a:solidFill>
          <a:srgbClr val="5B9BD5"/>
        </a:solidFill>
        <a:ln w="12700" cap="flat" cmpd="sng" algn="ctr">
          <a:solidFill>
            <a:srgbClr val="5B9BD5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t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Inspect bearings</a:t>
          </a:r>
        </a:p>
      </xdr:txBody>
    </xdr:sp>
    <xdr:clientData/>
  </xdr:twoCellAnchor>
  <xdr:twoCellAnchor>
    <xdr:from>
      <xdr:col>23</xdr:col>
      <xdr:colOff>188325</xdr:colOff>
      <xdr:row>20</xdr:row>
      <xdr:rowOff>107396</xdr:rowOff>
    </xdr:from>
    <xdr:to>
      <xdr:col>25</xdr:col>
      <xdr:colOff>397933</xdr:colOff>
      <xdr:row>24</xdr:row>
      <xdr:rowOff>31496</xdr:rowOff>
    </xdr:to>
    <xdr:sp macro="" textlink="">
      <xdr:nvSpPr>
        <xdr:cNvPr id="449" name="Rectangle 448">
          <a:extLst>
            <a:ext uri="{FF2B5EF4-FFF2-40B4-BE49-F238E27FC236}">
              <a16:creationId xmlns:a16="http://schemas.microsoft.com/office/drawing/2014/main" id="{ED55A44F-7BAD-49E0-BCF4-89F3B1696265}"/>
            </a:ext>
          </a:extLst>
        </xdr:cNvPr>
        <xdr:cNvSpPr/>
      </xdr:nvSpPr>
      <xdr:spPr>
        <a:xfrm>
          <a:off x="14209125" y="3790396"/>
          <a:ext cx="1428808" cy="660700"/>
        </a:xfrm>
        <a:prstGeom prst="rect">
          <a:avLst/>
        </a:prstGeom>
        <a:solidFill>
          <a:srgbClr val="5B9BD5"/>
        </a:solidFill>
        <a:ln w="12700" cap="flat" cmpd="sng" algn="ctr">
          <a:solidFill>
            <a:srgbClr val="5B9BD5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Carry out Maintenance  of Feeder</a:t>
          </a:r>
        </a:p>
      </xdr:txBody>
    </xdr:sp>
    <xdr:clientData/>
  </xdr:twoCellAnchor>
  <xdr:twoCellAnchor>
    <xdr:from>
      <xdr:col>28</xdr:col>
      <xdr:colOff>259770</xdr:colOff>
      <xdr:row>16</xdr:row>
      <xdr:rowOff>7974</xdr:rowOff>
    </xdr:from>
    <xdr:to>
      <xdr:col>30</xdr:col>
      <xdr:colOff>1</xdr:colOff>
      <xdr:row>65</xdr:row>
      <xdr:rowOff>54427</xdr:rowOff>
    </xdr:to>
    <xdr:cxnSp macro="">
      <xdr:nvCxnSpPr>
        <xdr:cNvPr id="450" name="Connector: Elbow 449">
          <a:extLst>
            <a:ext uri="{FF2B5EF4-FFF2-40B4-BE49-F238E27FC236}">
              <a16:creationId xmlns:a16="http://schemas.microsoft.com/office/drawing/2014/main" id="{0A298D72-08B0-47DD-B2DC-ED6536B76ACA}"/>
            </a:ext>
          </a:extLst>
        </xdr:cNvPr>
        <xdr:cNvCxnSpPr/>
      </xdr:nvCxnSpPr>
      <xdr:spPr>
        <a:xfrm rot="16200000" flipH="1">
          <a:off x="13397209" y="6885735"/>
          <a:ext cx="9069803" cy="1207081"/>
        </a:xfrm>
        <a:prstGeom prst="bentConnector3">
          <a:avLst>
            <a:gd name="adj1" fmla="val 14"/>
          </a:avLst>
        </a:prstGeom>
        <a:noFill/>
        <a:ln w="6350" cap="flat" cmpd="sng" algn="ctr">
          <a:solidFill>
            <a:srgbClr val="5B9BD5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20</xdr:col>
      <xdr:colOff>607742</xdr:colOff>
      <xdr:row>10</xdr:row>
      <xdr:rowOff>6534</xdr:rowOff>
    </xdr:from>
    <xdr:to>
      <xdr:col>35</xdr:col>
      <xdr:colOff>609992</xdr:colOff>
      <xdr:row>13</xdr:row>
      <xdr:rowOff>106501</xdr:rowOff>
    </xdr:to>
    <xdr:cxnSp macro="">
      <xdr:nvCxnSpPr>
        <xdr:cNvPr id="451" name="Connector: Elbow 450">
          <a:extLst>
            <a:ext uri="{FF2B5EF4-FFF2-40B4-BE49-F238E27FC236}">
              <a16:creationId xmlns:a16="http://schemas.microsoft.com/office/drawing/2014/main" id="{26EDC5E9-2DDF-4BCC-95BE-BD1A7219C995}"/>
            </a:ext>
          </a:extLst>
        </xdr:cNvPr>
        <xdr:cNvCxnSpPr/>
      </xdr:nvCxnSpPr>
      <xdr:spPr>
        <a:xfrm rot="16200000" flipH="1">
          <a:off x="17170483" y="-2522707"/>
          <a:ext cx="652417" cy="9393900"/>
        </a:xfrm>
        <a:prstGeom prst="bentConnector3">
          <a:avLst>
            <a:gd name="adj1" fmla="val 45874"/>
          </a:avLst>
        </a:prstGeom>
        <a:noFill/>
        <a:ln w="6350" cap="flat" cmpd="sng" algn="ctr">
          <a:solidFill>
            <a:srgbClr val="5B9BD5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34</xdr:col>
      <xdr:colOff>226664</xdr:colOff>
      <xdr:row>13</xdr:row>
      <xdr:rowOff>107121</xdr:rowOff>
    </xdr:from>
    <xdr:to>
      <xdr:col>37</xdr:col>
      <xdr:colOff>460465</xdr:colOff>
      <xdr:row>18</xdr:row>
      <xdr:rowOff>105421</xdr:rowOff>
    </xdr:to>
    <xdr:sp macro="" textlink="">
      <xdr:nvSpPr>
        <xdr:cNvPr id="452" name="Flowchart: Decision 451">
          <a:extLst>
            <a:ext uri="{FF2B5EF4-FFF2-40B4-BE49-F238E27FC236}">
              <a16:creationId xmlns:a16="http://schemas.microsoft.com/office/drawing/2014/main" id="{2D35355A-E982-4433-BD70-C276D14C6090}"/>
            </a:ext>
          </a:extLst>
        </xdr:cNvPr>
        <xdr:cNvSpPr/>
      </xdr:nvSpPr>
      <xdr:spPr>
        <a:xfrm>
          <a:off x="21200714" y="2501071"/>
          <a:ext cx="2062601" cy="919050"/>
        </a:xfrm>
        <a:prstGeom prst="flowChartDecision">
          <a:avLst/>
        </a:prstGeom>
        <a:solidFill>
          <a:srgbClr val="5B9BD5"/>
        </a:solidFill>
        <a:ln w="12700" cap="flat" cmpd="sng" algn="ctr">
          <a:solidFill>
            <a:srgbClr val="5B9BD5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Mill  to Seal air Bowl DP Low</a:t>
          </a:r>
        </a:p>
      </xdr:txBody>
    </xdr:sp>
    <xdr:clientData/>
  </xdr:twoCellAnchor>
  <xdr:twoCellAnchor>
    <xdr:from>
      <xdr:col>33</xdr:col>
      <xdr:colOff>498865</xdr:colOff>
      <xdr:row>16</xdr:row>
      <xdr:rowOff>6603</xdr:rowOff>
    </xdr:from>
    <xdr:to>
      <xdr:col>34</xdr:col>
      <xdr:colOff>226665</xdr:colOff>
      <xdr:row>20</xdr:row>
      <xdr:rowOff>122996</xdr:rowOff>
    </xdr:to>
    <xdr:cxnSp macro="">
      <xdr:nvCxnSpPr>
        <xdr:cNvPr id="453" name="Connector: Elbow 452">
          <a:extLst>
            <a:ext uri="{FF2B5EF4-FFF2-40B4-BE49-F238E27FC236}">
              <a16:creationId xmlns:a16="http://schemas.microsoft.com/office/drawing/2014/main" id="{F7371EB4-E519-40DE-9AC5-CBC17B6310A4}"/>
            </a:ext>
          </a:extLst>
        </xdr:cNvPr>
        <xdr:cNvCxnSpPr>
          <a:stCxn id="452" idx="1"/>
        </xdr:cNvCxnSpPr>
      </xdr:nvCxnSpPr>
      <xdr:spPr>
        <a:xfrm rot="10800000" flipV="1">
          <a:off x="20863315" y="2953003"/>
          <a:ext cx="337400" cy="852993"/>
        </a:xfrm>
        <a:prstGeom prst="bentConnector2">
          <a:avLst/>
        </a:prstGeom>
        <a:noFill/>
        <a:ln w="6350" cap="flat" cmpd="sng" algn="ctr">
          <a:solidFill>
            <a:srgbClr val="5B9BD5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30</xdr:col>
      <xdr:colOff>226091</xdr:colOff>
      <xdr:row>28</xdr:row>
      <xdr:rowOff>135695</xdr:rowOff>
    </xdr:from>
    <xdr:to>
      <xdr:col>32</xdr:col>
      <xdr:colOff>416649</xdr:colOff>
      <xdr:row>32</xdr:row>
      <xdr:rowOff>47095</xdr:rowOff>
    </xdr:to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AA249310-D5B1-491F-8390-3C1D51B2DD54}"/>
            </a:ext>
          </a:extLst>
        </xdr:cNvPr>
        <xdr:cNvSpPr/>
      </xdr:nvSpPr>
      <xdr:spPr>
        <a:xfrm>
          <a:off x="18761741" y="5291895"/>
          <a:ext cx="1409758" cy="648000"/>
        </a:xfrm>
        <a:prstGeom prst="rect">
          <a:avLst/>
        </a:prstGeom>
        <a:solidFill>
          <a:srgbClr val="5B9BD5"/>
        </a:solidFill>
        <a:ln w="12700" cap="flat" cmpd="sng" algn="ctr">
          <a:solidFill>
            <a:srgbClr val="5B9BD5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Open seal air to Mill damper</a:t>
          </a:r>
        </a:p>
      </xdr:txBody>
    </xdr:sp>
    <xdr:clientData/>
  </xdr:twoCellAnchor>
  <xdr:twoCellAnchor>
    <xdr:from>
      <xdr:col>37</xdr:col>
      <xdr:colOff>469161</xdr:colOff>
      <xdr:row>16</xdr:row>
      <xdr:rowOff>8114</xdr:rowOff>
    </xdr:from>
    <xdr:to>
      <xdr:col>37</xdr:col>
      <xdr:colOff>501422</xdr:colOff>
      <xdr:row>65</xdr:row>
      <xdr:rowOff>28574</xdr:rowOff>
    </xdr:to>
    <xdr:cxnSp macro="">
      <xdr:nvCxnSpPr>
        <xdr:cNvPr id="455" name="Connector: Elbow 454">
          <a:extLst>
            <a:ext uri="{FF2B5EF4-FFF2-40B4-BE49-F238E27FC236}">
              <a16:creationId xmlns:a16="http://schemas.microsoft.com/office/drawing/2014/main" id="{A5959480-AA69-4552-AB43-3A2C06739A44}"/>
            </a:ext>
          </a:extLst>
        </xdr:cNvPr>
        <xdr:cNvCxnSpPr>
          <a:endCxn id="467" idx="0"/>
        </xdr:cNvCxnSpPr>
      </xdr:nvCxnSpPr>
      <xdr:spPr>
        <a:xfrm rot="16200000" flipH="1">
          <a:off x="18766237" y="7460288"/>
          <a:ext cx="9043810" cy="32261"/>
        </a:xfrm>
        <a:prstGeom prst="bentConnector3">
          <a:avLst>
            <a:gd name="adj1" fmla="val 53492"/>
          </a:avLst>
        </a:prstGeom>
        <a:noFill/>
        <a:ln w="6350" cap="flat" cmpd="sng" algn="ctr">
          <a:solidFill>
            <a:srgbClr val="5B9BD5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32</xdr:col>
      <xdr:colOff>53105</xdr:colOff>
      <xdr:row>20</xdr:row>
      <xdr:rowOff>135136</xdr:rowOff>
    </xdr:from>
    <xdr:to>
      <xdr:col>35</xdr:col>
      <xdr:colOff>308754</xdr:colOff>
      <xdr:row>27</xdr:row>
      <xdr:rowOff>92311</xdr:rowOff>
    </xdr:to>
    <xdr:sp macro="" textlink="">
      <xdr:nvSpPr>
        <xdr:cNvPr id="456" name="Flowchart: Decision 455">
          <a:extLst>
            <a:ext uri="{FF2B5EF4-FFF2-40B4-BE49-F238E27FC236}">
              <a16:creationId xmlns:a16="http://schemas.microsoft.com/office/drawing/2014/main" id="{7FBE33E8-EBD3-4EAB-8283-FCBEE7CD1CD8}"/>
            </a:ext>
          </a:extLst>
        </xdr:cNvPr>
        <xdr:cNvSpPr/>
      </xdr:nvSpPr>
      <xdr:spPr>
        <a:xfrm>
          <a:off x="19807955" y="3818136"/>
          <a:ext cx="2084449" cy="1246225"/>
        </a:xfrm>
        <a:prstGeom prst="flowChartDecision">
          <a:avLst/>
        </a:prstGeom>
        <a:solidFill>
          <a:srgbClr val="5B9BD5"/>
        </a:solidFill>
        <a:ln w="12700" cap="flat" cmpd="sng" algn="ctr">
          <a:solidFill>
            <a:srgbClr val="5B9BD5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Check Seal Air damper close position</a:t>
          </a:r>
        </a:p>
      </xdr:txBody>
    </xdr:sp>
    <xdr:clientData/>
  </xdr:twoCellAnchor>
  <xdr:twoCellAnchor>
    <xdr:from>
      <xdr:col>31</xdr:col>
      <xdr:colOff>300359</xdr:colOff>
      <xdr:row>24</xdr:row>
      <xdr:rowOff>28414</xdr:rowOff>
    </xdr:from>
    <xdr:to>
      <xdr:col>32</xdr:col>
      <xdr:colOff>41234</xdr:colOff>
      <xdr:row>28</xdr:row>
      <xdr:rowOff>141632</xdr:rowOff>
    </xdr:to>
    <xdr:cxnSp macro="">
      <xdr:nvCxnSpPr>
        <xdr:cNvPr id="457" name="Connector: Elbow 456">
          <a:extLst>
            <a:ext uri="{FF2B5EF4-FFF2-40B4-BE49-F238E27FC236}">
              <a16:creationId xmlns:a16="http://schemas.microsoft.com/office/drawing/2014/main" id="{6F649D75-0390-494C-8A51-DBAA0BCA688E}"/>
            </a:ext>
          </a:extLst>
        </xdr:cNvPr>
        <xdr:cNvCxnSpPr/>
      </xdr:nvCxnSpPr>
      <xdr:spPr>
        <a:xfrm rot="10800000" flipV="1">
          <a:off x="19445609" y="4448014"/>
          <a:ext cx="350475" cy="849818"/>
        </a:xfrm>
        <a:prstGeom prst="bentConnector2">
          <a:avLst/>
        </a:prstGeom>
        <a:noFill/>
        <a:ln w="6350" cap="flat" cmpd="sng" algn="ctr">
          <a:solidFill>
            <a:srgbClr val="5B9BD5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35</xdr:col>
      <xdr:colOff>245116</xdr:colOff>
      <xdr:row>24</xdr:row>
      <xdr:rowOff>18467</xdr:rowOff>
    </xdr:from>
    <xdr:to>
      <xdr:col>36</xdr:col>
      <xdr:colOff>11845</xdr:colOff>
      <xdr:row>30</xdr:row>
      <xdr:rowOff>94142</xdr:rowOff>
    </xdr:to>
    <xdr:cxnSp macro="">
      <xdr:nvCxnSpPr>
        <xdr:cNvPr id="458" name="Connector: Elbow 457">
          <a:extLst>
            <a:ext uri="{FF2B5EF4-FFF2-40B4-BE49-F238E27FC236}">
              <a16:creationId xmlns:a16="http://schemas.microsoft.com/office/drawing/2014/main" id="{05DCD3A4-4B5E-4E50-BB44-DAC847B9A733}"/>
            </a:ext>
          </a:extLst>
        </xdr:cNvPr>
        <xdr:cNvCxnSpPr/>
      </xdr:nvCxnSpPr>
      <xdr:spPr>
        <a:xfrm>
          <a:off x="21828766" y="4438067"/>
          <a:ext cx="376329" cy="1180575"/>
        </a:xfrm>
        <a:prstGeom prst="bentConnector2">
          <a:avLst/>
        </a:prstGeom>
        <a:noFill/>
        <a:ln w="6350" cap="flat" cmpd="sng" algn="ctr">
          <a:solidFill>
            <a:srgbClr val="5B9BD5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35</xdr:col>
      <xdr:colOff>186811</xdr:colOff>
      <xdr:row>30</xdr:row>
      <xdr:rowOff>96846</xdr:rowOff>
    </xdr:from>
    <xdr:to>
      <xdr:col>36</xdr:col>
      <xdr:colOff>491611</xdr:colOff>
      <xdr:row>36</xdr:row>
      <xdr:rowOff>22170</xdr:rowOff>
    </xdr:to>
    <xdr:sp macro="" textlink="">
      <xdr:nvSpPr>
        <xdr:cNvPr id="459" name="Flowchart: Document 458">
          <a:extLst>
            <a:ext uri="{FF2B5EF4-FFF2-40B4-BE49-F238E27FC236}">
              <a16:creationId xmlns:a16="http://schemas.microsoft.com/office/drawing/2014/main" id="{8F33371A-6959-4A42-9617-3374E85E23D4}"/>
            </a:ext>
          </a:extLst>
        </xdr:cNvPr>
        <xdr:cNvSpPr/>
      </xdr:nvSpPr>
      <xdr:spPr>
        <a:xfrm>
          <a:off x="21770461" y="5621346"/>
          <a:ext cx="914400" cy="1030224"/>
        </a:xfrm>
        <a:prstGeom prst="flowChartDocument">
          <a:avLst/>
        </a:prstGeom>
        <a:solidFill>
          <a:srgbClr val="5B9BD5"/>
        </a:solidFill>
        <a:ln w="12700" cap="flat" cmpd="sng" algn="ctr">
          <a:solidFill>
            <a:srgbClr val="5B9BD5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Make available seal air fan</a:t>
          </a:r>
        </a:p>
      </xdr:txBody>
    </xdr:sp>
    <xdr:clientData/>
  </xdr:twoCellAnchor>
  <xdr:twoCellAnchor>
    <xdr:from>
      <xdr:col>20</xdr:col>
      <xdr:colOff>602769</xdr:colOff>
      <xdr:row>9</xdr:row>
      <xdr:rowOff>164256</xdr:rowOff>
    </xdr:from>
    <xdr:to>
      <xdr:col>43</xdr:col>
      <xdr:colOff>242448</xdr:colOff>
      <xdr:row>13</xdr:row>
      <xdr:rowOff>104685</xdr:rowOff>
    </xdr:to>
    <xdr:cxnSp macro="">
      <xdr:nvCxnSpPr>
        <xdr:cNvPr id="460" name="Connector: Elbow 459">
          <a:extLst>
            <a:ext uri="{FF2B5EF4-FFF2-40B4-BE49-F238E27FC236}">
              <a16:creationId xmlns:a16="http://schemas.microsoft.com/office/drawing/2014/main" id="{A316E456-946A-41E6-97D5-5FA0D49D960F}"/>
            </a:ext>
          </a:extLst>
        </xdr:cNvPr>
        <xdr:cNvCxnSpPr/>
      </xdr:nvCxnSpPr>
      <xdr:spPr>
        <a:xfrm rot="16200000" flipH="1">
          <a:off x="19410319" y="-4793944"/>
          <a:ext cx="677029" cy="13908129"/>
        </a:xfrm>
        <a:prstGeom prst="bentConnector3">
          <a:avLst>
            <a:gd name="adj1" fmla="val 45874"/>
          </a:avLst>
        </a:prstGeom>
        <a:noFill/>
        <a:ln w="6350" cap="flat" cmpd="sng" algn="ctr">
          <a:solidFill>
            <a:srgbClr val="5B9BD5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41</xdr:col>
      <xdr:colOff>376480</xdr:colOff>
      <xdr:row>13</xdr:row>
      <xdr:rowOff>124946</xdr:rowOff>
    </xdr:from>
    <xdr:to>
      <xdr:col>45</xdr:col>
      <xdr:colOff>174171</xdr:colOff>
      <xdr:row>21</xdr:row>
      <xdr:rowOff>0</xdr:rowOff>
    </xdr:to>
    <xdr:sp macro="" textlink="">
      <xdr:nvSpPr>
        <xdr:cNvPr id="461" name="Flowchart: Decision 460">
          <a:extLst>
            <a:ext uri="{FF2B5EF4-FFF2-40B4-BE49-F238E27FC236}">
              <a16:creationId xmlns:a16="http://schemas.microsoft.com/office/drawing/2014/main" id="{FD4C0CF8-B7CC-41A0-B13C-141843E084D2}"/>
            </a:ext>
          </a:extLst>
        </xdr:cNvPr>
        <xdr:cNvSpPr/>
      </xdr:nvSpPr>
      <xdr:spPr>
        <a:xfrm>
          <a:off x="25617730" y="2518896"/>
          <a:ext cx="2236091" cy="1348254"/>
        </a:xfrm>
        <a:prstGeom prst="flowChartDecision">
          <a:avLst/>
        </a:prstGeom>
        <a:solidFill>
          <a:srgbClr val="5B9BD5"/>
        </a:solidFill>
        <a:ln w="12700" cap="flat" cmpd="sng" algn="ctr">
          <a:solidFill>
            <a:srgbClr val="5B9BD5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Check availability of inert steam</a:t>
          </a:r>
        </a:p>
      </xdr:txBody>
    </xdr:sp>
    <xdr:clientData/>
  </xdr:twoCellAnchor>
  <xdr:twoCellAnchor>
    <xdr:from>
      <xdr:col>45</xdr:col>
      <xdr:colOff>172526</xdr:colOff>
      <xdr:row>17</xdr:row>
      <xdr:rowOff>53925</xdr:rowOff>
    </xdr:from>
    <xdr:to>
      <xdr:col>45</xdr:col>
      <xdr:colOff>538422</xdr:colOff>
      <xdr:row>22</xdr:row>
      <xdr:rowOff>13050</xdr:rowOff>
    </xdr:to>
    <xdr:cxnSp macro="">
      <xdr:nvCxnSpPr>
        <xdr:cNvPr id="462" name="Connector: Elbow 461">
          <a:extLst>
            <a:ext uri="{FF2B5EF4-FFF2-40B4-BE49-F238E27FC236}">
              <a16:creationId xmlns:a16="http://schemas.microsoft.com/office/drawing/2014/main" id="{9ED7B967-F6C7-4634-AD31-F168A19AB963}"/>
            </a:ext>
          </a:extLst>
        </xdr:cNvPr>
        <xdr:cNvCxnSpPr/>
      </xdr:nvCxnSpPr>
      <xdr:spPr>
        <a:xfrm>
          <a:off x="27852176" y="3184475"/>
          <a:ext cx="365896" cy="879875"/>
        </a:xfrm>
        <a:prstGeom prst="bentConnector2">
          <a:avLst/>
        </a:prstGeom>
        <a:noFill/>
        <a:ln w="6350" cap="flat" cmpd="sng" algn="ctr">
          <a:solidFill>
            <a:srgbClr val="5B9BD5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40</xdr:col>
      <xdr:colOff>84138</xdr:colOff>
      <xdr:row>17</xdr:row>
      <xdr:rowOff>35630</xdr:rowOff>
    </xdr:from>
    <xdr:to>
      <xdr:col>41</xdr:col>
      <xdr:colOff>390860</xdr:colOff>
      <xdr:row>64</xdr:row>
      <xdr:rowOff>31297</xdr:rowOff>
    </xdr:to>
    <xdr:cxnSp macro="">
      <xdr:nvCxnSpPr>
        <xdr:cNvPr id="463" name="Connector: Elbow 462">
          <a:extLst>
            <a:ext uri="{FF2B5EF4-FFF2-40B4-BE49-F238E27FC236}">
              <a16:creationId xmlns:a16="http://schemas.microsoft.com/office/drawing/2014/main" id="{4F4E186B-650C-4CEB-9E61-3C75DB14080F}"/>
            </a:ext>
          </a:extLst>
        </xdr:cNvPr>
        <xdr:cNvCxnSpPr>
          <a:endCxn id="468" idx="0"/>
        </xdr:cNvCxnSpPr>
      </xdr:nvCxnSpPr>
      <xdr:spPr>
        <a:xfrm rot="5400000">
          <a:off x="20848590" y="7033378"/>
          <a:ext cx="8650717" cy="916322"/>
        </a:xfrm>
        <a:prstGeom prst="bentConnector3">
          <a:avLst>
            <a:gd name="adj1" fmla="val 50000"/>
          </a:avLst>
        </a:prstGeom>
        <a:noFill/>
        <a:ln w="6350" cap="flat" cmpd="sng" algn="ctr">
          <a:solidFill>
            <a:srgbClr val="5B9BD5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44</xdr:col>
      <xdr:colOff>407974</xdr:colOff>
      <xdr:row>21</xdr:row>
      <xdr:rowOff>172435</xdr:rowOff>
    </xdr:from>
    <xdr:to>
      <xdr:col>46</xdr:col>
      <xdr:colOff>598986</xdr:colOff>
      <xdr:row>25</xdr:row>
      <xdr:rowOff>87010</xdr:rowOff>
    </xdr:to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1992AC75-1127-45A4-8098-8D251D646F4B}"/>
            </a:ext>
          </a:extLst>
        </xdr:cNvPr>
        <xdr:cNvSpPr/>
      </xdr:nvSpPr>
      <xdr:spPr>
        <a:xfrm>
          <a:off x="27478024" y="4039585"/>
          <a:ext cx="1410212" cy="651175"/>
        </a:xfrm>
        <a:prstGeom prst="rect">
          <a:avLst/>
        </a:prstGeom>
        <a:solidFill>
          <a:srgbClr val="5B9BD5"/>
        </a:solidFill>
        <a:ln w="12700" cap="flat" cmpd="sng" algn="ctr">
          <a:solidFill>
            <a:srgbClr val="5B9BD5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Open inert steam to mill valve</a:t>
          </a:r>
        </a:p>
      </xdr:txBody>
    </xdr:sp>
    <xdr:clientData/>
  </xdr:twoCellAnchor>
  <xdr:twoCellAnchor>
    <xdr:from>
      <xdr:col>0</xdr:col>
      <xdr:colOff>0</xdr:colOff>
      <xdr:row>66</xdr:row>
      <xdr:rowOff>163285</xdr:rowOff>
    </xdr:from>
    <xdr:to>
      <xdr:col>1</xdr:col>
      <xdr:colOff>304800</xdr:colOff>
      <xdr:row>72</xdr:row>
      <xdr:rowOff>75910</xdr:rowOff>
    </xdr:to>
    <xdr:sp macro="" textlink="">
      <xdr:nvSpPr>
        <xdr:cNvPr id="465" name="Flowchart: Document 464">
          <a:extLst>
            <a:ext uri="{FF2B5EF4-FFF2-40B4-BE49-F238E27FC236}">
              <a16:creationId xmlns:a16="http://schemas.microsoft.com/office/drawing/2014/main" id="{48BABE45-D48E-4184-934C-5C0530CDE4C5}"/>
            </a:ext>
          </a:extLst>
        </xdr:cNvPr>
        <xdr:cNvSpPr/>
      </xdr:nvSpPr>
      <xdr:spPr>
        <a:xfrm>
          <a:off x="0" y="12317185"/>
          <a:ext cx="914400" cy="1017525"/>
        </a:xfrm>
        <a:prstGeom prst="flowChartDocument">
          <a:avLst/>
        </a:prstGeom>
        <a:solidFill>
          <a:srgbClr val="70AD47">
            <a:lumMod val="75000"/>
          </a:srgbClr>
        </a:solidFill>
        <a:ln w="12700" cap="flat" cmpd="sng" algn="ctr">
          <a:solidFill>
            <a:srgbClr val="5B9BD5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Output-1</a:t>
          </a:r>
        </a:p>
      </xdr:txBody>
    </xdr:sp>
    <xdr:clientData/>
  </xdr:twoCellAnchor>
  <xdr:twoCellAnchor>
    <xdr:from>
      <xdr:col>27</xdr:col>
      <xdr:colOff>507094</xdr:colOff>
      <xdr:row>65</xdr:row>
      <xdr:rowOff>121103</xdr:rowOff>
    </xdr:from>
    <xdr:to>
      <xdr:col>29</xdr:col>
      <xdr:colOff>215448</xdr:colOff>
      <xdr:row>71</xdr:row>
      <xdr:rowOff>27378</xdr:rowOff>
    </xdr:to>
    <xdr:sp macro="" textlink="">
      <xdr:nvSpPr>
        <xdr:cNvPr id="466" name="Flowchart: Document 465">
          <a:extLst>
            <a:ext uri="{FF2B5EF4-FFF2-40B4-BE49-F238E27FC236}">
              <a16:creationId xmlns:a16="http://schemas.microsoft.com/office/drawing/2014/main" id="{2DF1DD20-8CA3-4745-A3C7-CBD596B99400}"/>
            </a:ext>
          </a:extLst>
        </xdr:cNvPr>
        <xdr:cNvSpPr/>
      </xdr:nvSpPr>
      <xdr:spPr>
        <a:xfrm>
          <a:off x="16966294" y="12090853"/>
          <a:ext cx="927554" cy="1011175"/>
        </a:xfrm>
        <a:prstGeom prst="flowChartDocument">
          <a:avLst/>
        </a:prstGeom>
        <a:solidFill>
          <a:srgbClr val="70AD47">
            <a:lumMod val="75000"/>
          </a:srgbClr>
        </a:solidFill>
        <a:ln w="12700" cap="flat" cmpd="sng" algn="ctr">
          <a:solidFill>
            <a:srgbClr val="5B9BD5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Output-2</a:t>
          </a:r>
          <a:endParaRPr kumimoji="0" lang="en-IN" sz="18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37</xdr:col>
      <xdr:colOff>38100</xdr:colOff>
      <xdr:row>65</xdr:row>
      <xdr:rowOff>25399</xdr:rowOff>
    </xdr:from>
    <xdr:to>
      <xdr:col>38</xdr:col>
      <xdr:colOff>349249</xdr:colOff>
      <xdr:row>70</xdr:row>
      <xdr:rowOff>105392</xdr:rowOff>
    </xdr:to>
    <xdr:sp macro="" textlink="">
      <xdr:nvSpPr>
        <xdr:cNvPr id="467" name="Flowchart: Document 466">
          <a:extLst>
            <a:ext uri="{FF2B5EF4-FFF2-40B4-BE49-F238E27FC236}">
              <a16:creationId xmlns:a16="http://schemas.microsoft.com/office/drawing/2014/main" id="{4F4DD920-3E78-4436-BCBE-0ACBDBA8F259}"/>
            </a:ext>
          </a:extLst>
        </xdr:cNvPr>
        <xdr:cNvSpPr/>
      </xdr:nvSpPr>
      <xdr:spPr>
        <a:xfrm>
          <a:off x="22840950" y="11995149"/>
          <a:ext cx="920749" cy="1000743"/>
        </a:xfrm>
        <a:prstGeom prst="flowChartDocument">
          <a:avLst/>
        </a:prstGeom>
        <a:solidFill>
          <a:srgbClr val="70AD47">
            <a:lumMod val="75000"/>
          </a:srgbClr>
        </a:solidFill>
        <a:ln w="12700" cap="flat" cmpd="sng" algn="ctr">
          <a:solidFill>
            <a:srgbClr val="5B9BD5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Output-4</a:t>
          </a:r>
          <a:endParaRPr kumimoji="0" lang="en-IN" sz="18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39</xdr:col>
      <xdr:colOff>233136</xdr:colOff>
      <xdr:row>64</xdr:row>
      <xdr:rowOff>34472</xdr:rowOff>
    </xdr:from>
    <xdr:to>
      <xdr:col>40</xdr:col>
      <xdr:colOff>547460</xdr:colOff>
      <xdr:row>69</xdr:row>
      <xdr:rowOff>98590</xdr:rowOff>
    </xdr:to>
    <xdr:sp macro="" textlink="">
      <xdr:nvSpPr>
        <xdr:cNvPr id="468" name="Flowchart: Document 467">
          <a:extLst>
            <a:ext uri="{FF2B5EF4-FFF2-40B4-BE49-F238E27FC236}">
              <a16:creationId xmlns:a16="http://schemas.microsoft.com/office/drawing/2014/main" id="{A2F4E928-1215-467C-9E39-7BE5554A9D2A}"/>
            </a:ext>
          </a:extLst>
        </xdr:cNvPr>
        <xdr:cNvSpPr/>
      </xdr:nvSpPr>
      <xdr:spPr>
        <a:xfrm>
          <a:off x="24255186" y="11820072"/>
          <a:ext cx="923924" cy="984868"/>
        </a:xfrm>
        <a:prstGeom prst="flowChartDocument">
          <a:avLst/>
        </a:prstGeom>
        <a:solidFill>
          <a:srgbClr val="70AD47">
            <a:lumMod val="75000"/>
          </a:srgbClr>
        </a:solidFill>
        <a:ln w="12700" cap="flat" cmpd="sng" algn="ctr">
          <a:solidFill>
            <a:srgbClr val="5B9BD5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Output-5</a:t>
          </a:r>
          <a:endParaRPr kumimoji="0" lang="en-IN" sz="18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29</xdr:col>
      <xdr:colOff>365577</xdr:colOff>
      <xdr:row>65</xdr:row>
      <xdr:rowOff>134257</xdr:rowOff>
    </xdr:from>
    <xdr:to>
      <xdr:col>30</xdr:col>
      <xdr:colOff>406398</xdr:colOff>
      <xdr:row>70</xdr:row>
      <xdr:rowOff>13608</xdr:rowOff>
    </xdr:to>
    <xdr:sp macro="" textlink="">
      <xdr:nvSpPr>
        <xdr:cNvPr id="469" name="Flowchart: Document 468">
          <a:extLst>
            <a:ext uri="{FF2B5EF4-FFF2-40B4-BE49-F238E27FC236}">
              <a16:creationId xmlns:a16="http://schemas.microsoft.com/office/drawing/2014/main" id="{EC749DE4-76D1-498B-9CB3-38AE701C9A88}"/>
            </a:ext>
          </a:extLst>
        </xdr:cNvPr>
        <xdr:cNvSpPr/>
      </xdr:nvSpPr>
      <xdr:spPr>
        <a:xfrm>
          <a:off x="18043977" y="12104007"/>
          <a:ext cx="898071" cy="800101"/>
        </a:xfrm>
        <a:prstGeom prst="flowChartDocument">
          <a:avLst/>
        </a:prstGeom>
        <a:solidFill>
          <a:srgbClr val="70AD47">
            <a:lumMod val="75000"/>
          </a:srgbClr>
        </a:solidFill>
        <a:ln w="12700" cap="flat" cmpd="sng" algn="ctr">
          <a:solidFill>
            <a:srgbClr val="5B9BD5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Output-3</a:t>
          </a:r>
          <a:endParaRPr kumimoji="0" lang="en-IN" sz="18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21</xdr:col>
      <xdr:colOff>0</xdr:colOff>
      <xdr:row>77</xdr:row>
      <xdr:rowOff>155786</xdr:rowOff>
    </xdr:from>
    <xdr:to>
      <xdr:col>23</xdr:col>
      <xdr:colOff>183809</xdr:colOff>
      <xdr:row>81</xdr:row>
      <xdr:rowOff>74309</xdr:rowOff>
    </xdr:to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D67C137D-43DB-48D6-9B48-A6049A3DEEE9}"/>
            </a:ext>
          </a:extLst>
        </xdr:cNvPr>
        <xdr:cNvSpPr/>
      </xdr:nvSpPr>
      <xdr:spPr>
        <a:xfrm>
          <a:off x="12801600" y="14335336"/>
          <a:ext cx="1403009" cy="655123"/>
        </a:xfrm>
        <a:prstGeom prst="rect">
          <a:avLst/>
        </a:prstGeom>
        <a:solidFill>
          <a:srgbClr val="70AD47">
            <a:lumMod val="75000"/>
          </a:srgbClr>
        </a:solidFill>
        <a:ln w="12700" cap="flat" cmpd="sng" algn="ctr">
          <a:solidFill>
            <a:srgbClr val="5B9BD5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Calculate AHI</a:t>
          </a:r>
        </a:p>
      </xdr:txBody>
    </xdr:sp>
    <xdr:clientData/>
  </xdr:twoCellAnchor>
  <xdr:twoCellAnchor>
    <xdr:from>
      <xdr:col>22</xdr:col>
      <xdr:colOff>37999</xdr:colOff>
      <xdr:row>75</xdr:row>
      <xdr:rowOff>31295</xdr:rowOff>
    </xdr:from>
    <xdr:to>
      <xdr:col>22</xdr:col>
      <xdr:colOff>40822</xdr:colOff>
      <xdr:row>77</xdr:row>
      <xdr:rowOff>145509</xdr:rowOff>
    </xdr:to>
    <xdr:cxnSp macro="">
      <xdr:nvCxnSpPr>
        <xdr:cNvPr id="471" name="Straight Arrow Connector 470">
          <a:extLst>
            <a:ext uri="{FF2B5EF4-FFF2-40B4-BE49-F238E27FC236}">
              <a16:creationId xmlns:a16="http://schemas.microsoft.com/office/drawing/2014/main" id="{3D9296B5-84C9-4BCC-83E2-98D133A2CD15}"/>
            </a:ext>
          </a:extLst>
        </xdr:cNvPr>
        <xdr:cNvCxnSpPr/>
      </xdr:nvCxnSpPr>
      <xdr:spPr>
        <a:xfrm flipH="1">
          <a:off x="13449199" y="13842545"/>
          <a:ext cx="2823" cy="482514"/>
        </a:xfrm>
        <a:prstGeom prst="straightConnector1">
          <a:avLst/>
        </a:prstGeom>
        <a:noFill/>
        <a:ln w="6350" cap="flat" cmpd="sng" algn="ctr">
          <a:solidFill>
            <a:srgbClr val="5B9BD5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0</xdr:col>
      <xdr:colOff>340179</xdr:colOff>
      <xdr:row>75</xdr:row>
      <xdr:rowOff>13607</xdr:rowOff>
    </xdr:from>
    <xdr:to>
      <xdr:col>40</xdr:col>
      <xdr:colOff>81643</xdr:colOff>
      <xdr:row>75</xdr:row>
      <xdr:rowOff>27215</xdr:rowOff>
    </xdr:to>
    <xdr:cxnSp macro="">
      <xdr:nvCxnSpPr>
        <xdr:cNvPr id="472" name="Straight Connector 471">
          <a:extLst>
            <a:ext uri="{FF2B5EF4-FFF2-40B4-BE49-F238E27FC236}">
              <a16:creationId xmlns:a16="http://schemas.microsoft.com/office/drawing/2014/main" id="{7CF6FC81-C513-4112-B11F-FAB5540A706F}"/>
            </a:ext>
          </a:extLst>
        </xdr:cNvPr>
        <xdr:cNvCxnSpPr/>
      </xdr:nvCxnSpPr>
      <xdr:spPr>
        <a:xfrm flipV="1">
          <a:off x="340179" y="13824857"/>
          <a:ext cx="24373114" cy="13608"/>
        </a:xfrm>
        <a:prstGeom prst="line">
          <a:avLst/>
        </a:prstGeom>
        <a:noFill/>
        <a:ln w="6350" cap="flat" cmpd="sng" algn="ctr">
          <a:solidFill>
            <a:srgbClr val="5B9BD5"/>
          </a:solidFill>
          <a:prstDash val="solid"/>
          <a:miter lim="800000"/>
        </a:ln>
        <a:effectLst/>
      </xdr:spPr>
    </xdr:cxnSp>
    <xdr:clientData/>
  </xdr:twoCellAnchor>
  <xdr:twoCellAnchor>
    <xdr:from>
      <xdr:col>0</xdr:col>
      <xdr:colOff>353685</xdr:colOff>
      <xdr:row>72</xdr:row>
      <xdr:rowOff>88444</xdr:rowOff>
    </xdr:from>
    <xdr:to>
      <xdr:col>0</xdr:col>
      <xdr:colOff>356508</xdr:colOff>
      <xdr:row>75</xdr:row>
      <xdr:rowOff>25766</xdr:rowOff>
    </xdr:to>
    <xdr:cxnSp macro="">
      <xdr:nvCxnSpPr>
        <xdr:cNvPr id="473" name="Straight Arrow Connector 472">
          <a:extLst>
            <a:ext uri="{FF2B5EF4-FFF2-40B4-BE49-F238E27FC236}">
              <a16:creationId xmlns:a16="http://schemas.microsoft.com/office/drawing/2014/main" id="{6127447B-F994-4B54-91D6-443F6CB6546E}"/>
            </a:ext>
          </a:extLst>
        </xdr:cNvPr>
        <xdr:cNvCxnSpPr/>
      </xdr:nvCxnSpPr>
      <xdr:spPr>
        <a:xfrm flipH="1">
          <a:off x="353685" y="13347244"/>
          <a:ext cx="2823" cy="489772"/>
        </a:xfrm>
        <a:prstGeom prst="straightConnector1">
          <a:avLst/>
        </a:prstGeom>
        <a:noFill/>
        <a:ln w="6350" cap="flat" cmpd="sng" algn="ctr">
          <a:solidFill>
            <a:srgbClr val="5B9BD5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28</xdr:col>
      <xdr:colOff>206728</xdr:colOff>
      <xdr:row>71</xdr:row>
      <xdr:rowOff>36731</xdr:rowOff>
    </xdr:from>
    <xdr:to>
      <xdr:col>28</xdr:col>
      <xdr:colOff>206728</xdr:colOff>
      <xdr:row>74</xdr:row>
      <xdr:rowOff>154053</xdr:rowOff>
    </xdr:to>
    <xdr:cxnSp macro="">
      <xdr:nvCxnSpPr>
        <xdr:cNvPr id="474" name="Straight Arrow Connector 473">
          <a:extLst>
            <a:ext uri="{FF2B5EF4-FFF2-40B4-BE49-F238E27FC236}">
              <a16:creationId xmlns:a16="http://schemas.microsoft.com/office/drawing/2014/main" id="{F6791304-D6B5-4BFD-8936-FDADFEC1EEF0}"/>
            </a:ext>
          </a:extLst>
        </xdr:cNvPr>
        <xdr:cNvCxnSpPr/>
      </xdr:nvCxnSpPr>
      <xdr:spPr>
        <a:xfrm flipH="1">
          <a:off x="17275528" y="13111381"/>
          <a:ext cx="0" cy="669772"/>
        </a:xfrm>
        <a:prstGeom prst="straightConnector1">
          <a:avLst/>
        </a:prstGeom>
        <a:noFill/>
        <a:ln w="6350" cap="flat" cmpd="sng" algn="ctr">
          <a:solidFill>
            <a:srgbClr val="5B9BD5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29</xdr:col>
      <xdr:colOff>655310</xdr:colOff>
      <xdr:row>70</xdr:row>
      <xdr:rowOff>25840</xdr:rowOff>
    </xdr:from>
    <xdr:to>
      <xdr:col>29</xdr:col>
      <xdr:colOff>655310</xdr:colOff>
      <xdr:row>74</xdr:row>
      <xdr:rowOff>146269</xdr:rowOff>
    </xdr:to>
    <xdr:cxnSp macro="">
      <xdr:nvCxnSpPr>
        <xdr:cNvPr id="475" name="Straight Arrow Connector 474">
          <a:extLst>
            <a:ext uri="{FF2B5EF4-FFF2-40B4-BE49-F238E27FC236}">
              <a16:creationId xmlns:a16="http://schemas.microsoft.com/office/drawing/2014/main" id="{23F99846-B3B3-4897-AD59-56E5AABAF5E4}"/>
            </a:ext>
          </a:extLst>
        </xdr:cNvPr>
        <xdr:cNvCxnSpPr/>
      </xdr:nvCxnSpPr>
      <xdr:spPr>
        <a:xfrm flipH="1">
          <a:off x="18333710" y="12916340"/>
          <a:ext cx="0" cy="857029"/>
        </a:xfrm>
        <a:prstGeom prst="straightConnector1">
          <a:avLst/>
        </a:prstGeom>
        <a:noFill/>
        <a:ln w="6350" cap="flat" cmpd="sng" algn="ctr">
          <a:solidFill>
            <a:srgbClr val="5B9BD5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37</xdr:col>
      <xdr:colOff>345067</xdr:colOff>
      <xdr:row>70</xdr:row>
      <xdr:rowOff>48519</xdr:rowOff>
    </xdr:from>
    <xdr:to>
      <xdr:col>37</xdr:col>
      <xdr:colOff>345067</xdr:colOff>
      <xdr:row>74</xdr:row>
      <xdr:rowOff>162598</xdr:rowOff>
    </xdr:to>
    <xdr:cxnSp macro="">
      <xdr:nvCxnSpPr>
        <xdr:cNvPr id="476" name="Straight Arrow Connector 475">
          <a:extLst>
            <a:ext uri="{FF2B5EF4-FFF2-40B4-BE49-F238E27FC236}">
              <a16:creationId xmlns:a16="http://schemas.microsoft.com/office/drawing/2014/main" id="{A781CD35-F207-43E3-9A0F-45B2FDB942D5}"/>
            </a:ext>
          </a:extLst>
        </xdr:cNvPr>
        <xdr:cNvCxnSpPr/>
      </xdr:nvCxnSpPr>
      <xdr:spPr>
        <a:xfrm flipH="1">
          <a:off x="23147917" y="12939019"/>
          <a:ext cx="0" cy="850679"/>
        </a:xfrm>
        <a:prstGeom prst="straightConnector1">
          <a:avLst/>
        </a:prstGeom>
        <a:noFill/>
        <a:ln w="6350" cap="flat" cmpd="sng" algn="ctr">
          <a:solidFill>
            <a:srgbClr val="5B9BD5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40</xdr:col>
      <xdr:colOff>7609</xdr:colOff>
      <xdr:row>69</xdr:row>
      <xdr:rowOff>102493</xdr:rowOff>
    </xdr:from>
    <xdr:to>
      <xdr:col>40</xdr:col>
      <xdr:colOff>7609</xdr:colOff>
      <xdr:row>75</xdr:row>
      <xdr:rowOff>13136</xdr:rowOff>
    </xdr:to>
    <xdr:cxnSp macro="">
      <xdr:nvCxnSpPr>
        <xdr:cNvPr id="477" name="Straight Arrow Connector 476">
          <a:extLst>
            <a:ext uri="{FF2B5EF4-FFF2-40B4-BE49-F238E27FC236}">
              <a16:creationId xmlns:a16="http://schemas.microsoft.com/office/drawing/2014/main" id="{A714DBF2-DE6F-4A57-A42C-F821E274B1C6}"/>
            </a:ext>
          </a:extLst>
        </xdr:cNvPr>
        <xdr:cNvCxnSpPr/>
      </xdr:nvCxnSpPr>
      <xdr:spPr>
        <a:xfrm flipH="1">
          <a:off x="24639259" y="12808843"/>
          <a:ext cx="0" cy="1015543"/>
        </a:xfrm>
        <a:prstGeom prst="straightConnector1">
          <a:avLst/>
        </a:prstGeom>
        <a:noFill/>
        <a:ln w="6350" cap="flat" cmpd="sng" algn="ctr">
          <a:solidFill>
            <a:srgbClr val="5B9BD5"/>
          </a:solidFill>
          <a:prstDash val="solid"/>
          <a:miter lim="800000"/>
          <a:tailEnd type="triangle"/>
        </a:ln>
        <a:effectLst/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Sugandh/E%20Drive/TCE%20Point%20solution/Mill%20Scheduling/Mill%20Scheduling%20Working%20Sheet_04-05-2026.xlsx" TargetMode="External"/><Relationship Id="rId2" Type="http://schemas.openxmlformats.org/officeDocument/2006/relationships/externalLinkPath" Target="file:///D:\Sugandh\E%20Drive\TCE%20Point%20solution\Mill%20Scheduling\Mill%20Scheduling%20Working%20Sheet_04-05-2026.xlsx" TargetMode="External"/><Relationship Id="rId1" Type="http://schemas.openxmlformats.org/officeDocument/2006/relationships/externalLinkPath" Target="/Sugandh/E%20Drive/TCE%20Point%20solution/Mill%20Scheduling/Mill%20Scheduling%20Working%20Sheet_04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asic Inputs"/>
      <sheetName val="INPUT SHEET"/>
      <sheetName val="FLOW CHART"/>
      <sheetName val="MILL PRIORITY_OUTPUT"/>
      <sheetName val="3.Decision Tree for AHI Calc"/>
    </sheetNames>
    <sheetDataSet>
      <sheetData sheetId="0">
        <row r="4">
          <cell r="D4">
            <v>300</v>
          </cell>
          <cell r="E4">
            <v>299.95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2:O6"/>
  <sheetViews>
    <sheetView zoomScale="90" zoomScaleNormal="90" workbookViewId="0">
      <selection activeCell="F33" sqref="F33"/>
    </sheetView>
  </sheetViews>
  <sheetFormatPr defaultRowHeight="15.05" x14ac:dyDescent="0.3"/>
  <sheetData>
    <row r="2" spans="6:15" ht="14.6" customHeight="1" x14ac:dyDescent="0.3">
      <c r="G2" s="1"/>
      <c r="H2" s="1"/>
      <c r="I2" s="1"/>
      <c r="J2" s="1"/>
      <c r="K2" s="1"/>
      <c r="L2" s="1"/>
      <c r="M2" s="1"/>
    </row>
    <row r="3" spans="6:15" ht="14.6" customHeight="1" x14ac:dyDescent="0.3">
      <c r="F3" s="1"/>
      <c r="G3" s="1"/>
      <c r="H3" s="98" t="s">
        <v>0</v>
      </c>
      <c r="I3" s="98"/>
      <c r="J3" s="98"/>
      <c r="K3" s="98"/>
      <c r="L3" s="98"/>
      <c r="M3" s="98"/>
      <c r="N3" s="98"/>
      <c r="O3" s="98"/>
    </row>
    <row r="4" spans="6:15" ht="14.6" customHeight="1" x14ac:dyDescent="0.3">
      <c r="F4" s="1"/>
      <c r="G4" s="1"/>
      <c r="H4" s="98"/>
      <c r="I4" s="98"/>
      <c r="J4" s="98"/>
      <c r="K4" s="98"/>
      <c r="L4" s="98"/>
      <c r="M4" s="98"/>
      <c r="N4" s="98"/>
      <c r="O4" s="98"/>
    </row>
    <row r="5" spans="6:15" ht="14.6" customHeight="1" x14ac:dyDescent="0.3">
      <c r="F5" s="1"/>
      <c r="G5" s="1"/>
      <c r="H5" s="98"/>
      <c r="I5" s="98"/>
      <c r="J5" s="98"/>
      <c r="K5" s="98"/>
      <c r="L5" s="98"/>
      <c r="M5" s="98"/>
      <c r="N5" s="98"/>
      <c r="O5" s="98"/>
    </row>
    <row r="6" spans="6:15" x14ac:dyDescent="0.3">
      <c r="H6" s="98"/>
      <c r="I6" s="98"/>
      <c r="J6" s="98"/>
      <c r="K6" s="98"/>
      <c r="L6" s="98"/>
      <c r="M6" s="98"/>
      <c r="N6" s="98"/>
      <c r="O6" s="98"/>
    </row>
  </sheetData>
  <mergeCells count="1">
    <mergeCell ref="H3:O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6895B-CA80-4AC5-8A13-0A5E212633EA}">
  <dimension ref="A1:AA43"/>
  <sheetViews>
    <sheetView topLeftCell="B1" zoomScale="90" zoomScaleNormal="90" workbookViewId="0">
      <selection activeCell="L11" sqref="L11"/>
    </sheetView>
  </sheetViews>
  <sheetFormatPr defaultRowHeight="15.05" x14ac:dyDescent="0.3"/>
  <cols>
    <col min="1" max="1" width="8.77734375" customWidth="1"/>
    <col min="2" max="2" width="36.77734375" customWidth="1"/>
    <col min="3" max="3" width="8.77734375" customWidth="1"/>
    <col min="4" max="4" width="14.6640625" customWidth="1"/>
    <col min="5" max="5" width="18.5546875" customWidth="1"/>
    <col min="6" max="7" width="8.77734375" customWidth="1"/>
    <col min="8" max="8" width="47.109375" bestFit="1" customWidth="1"/>
    <col min="10" max="10" width="14.6640625" customWidth="1"/>
    <col min="11" max="11" width="14.21875" bestFit="1" customWidth="1"/>
    <col min="12" max="17" width="8.6640625" customWidth="1"/>
    <col min="18" max="26" width="8.77734375" customWidth="1"/>
    <col min="27" max="27" width="12.109375" hidden="1" customWidth="1"/>
  </cols>
  <sheetData>
    <row r="1" spans="1:27" x14ac:dyDescent="0.3">
      <c r="A1" s="13" t="s">
        <v>56</v>
      </c>
      <c r="B1" s="13" t="s">
        <v>1</v>
      </c>
      <c r="C1" s="13" t="s">
        <v>2</v>
      </c>
      <c r="D1" s="2" t="s">
        <v>3</v>
      </c>
      <c r="E1" s="2" t="s">
        <v>4</v>
      </c>
      <c r="G1" s="2" t="s">
        <v>56</v>
      </c>
      <c r="H1" s="2" t="s">
        <v>1</v>
      </c>
      <c r="I1" s="2" t="s">
        <v>2</v>
      </c>
      <c r="J1" s="2" t="s">
        <v>3</v>
      </c>
      <c r="K1" s="2" t="s">
        <v>85</v>
      </c>
      <c r="L1" s="103" t="s">
        <v>4</v>
      </c>
      <c r="M1" s="104"/>
      <c r="N1" s="104"/>
      <c r="O1" s="104"/>
      <c r="P1" s="104"/>
      <c r="Q1" s="104"/>
    </row>
    <row r="2" spans="1:27" x14ac:dyDescent="0.3">
      <c r="A2" s="13"/>
      <c r="B2" s="14" t="s">
        <v>57</v>
      </c>
      <c r="C2" s="13"/>
      <c r="D2" s="2"/>
      <c r="E2" s="2"/>
      <c r="G2" s="101" t="s">
        <v>84</v>
      </c>
      <c r="H2" s="102"/>
      <c r="I2" s="24"/>
      <c r="J2" s="2"/>
      <c r="K2" s="2"/>
      <c r="L2" s="2" t="s">
        <v>86</v>
      </c>
      <c r="M2" s="2" t="s">
        <v>87</v>
      </c>
      <c r="N2" s="2" t="s">
        <v>88</v>
      </c>
      <c r="O2" s="2" t="s">
        <v>89</v>
      </c>
      <c r="P2" s="2" t="s">
        <v>90</v>
      </c>
      <c r="Q2" s="2" t="s">
        <v>91</v>
      </c>
      <c r="S2" s="2" t="s">
        <v>86</v>
      </c>
      <c r="T2" s="2" t="s">
        <v>87</v>
      </c>
      <c r="U2" s="2" t="s">
        <v>88</v>
      </c>
      <c r="V2" s="2" t="s">
        <v>89</v>
      </c>
      <c r="W2" s="2" t="s">
        <v>90</v>
      </c>
      <c r="X2" s="2" t="s">
        <v>91</v>
      </c>
      <c r="AA2" s="31" t="s">
        <v>39</v>
      </c>
    </row>
    <row r="3" spans="1:27" x14ac:dyDescent="0.3">
      <c r="A3" s="15">
        <v>1</v>
      </c>
      <c r="B3" s="16" t="s">
        <v>5</v>
      </c>
      <c r="C3" s="17" t="s">
        <v>6</v>
      </c>
      <c r="D3" s="4">
        <v>2</v>
      </c>
      <c r="E3" s="4">
        <v>2</v>
      </c>
      <c r="G3" s="25">
        <v>38</v>
      </c>
      <c r="H3" s="26" t="s">
        <v>169</v>
      </c>
      <c r="I3" s="27" t="s">
        <v>58</v>
      </c>
      <c r="J3" s="4">
        <v>35</v>
      </c>
      <c r="K3" s="4">
        <f>ROUND(J3*0.95,0)</f>
        <v>33</v>
      </c>
      <c r="L3" s="4">
        <v>27</v>
      </c>
      <c r="M3" s="4">
        <v>29</v>
      </c>
      <c r="N3" s="4">
        <v>27</v>
      </c>
      <c r="O3" s="4">
        <v>31</v>
      </c>
      <c r="P3" s="4">
        <v>33</v>
      </c>
      <c r="Q3" s="4">
        <v>0</v>
      </c>
      <c r="AA3" s="31" t="s">
        <v>133</v>
      </c>
    </row>
    <row r="4" spans="1:27" x14ac:dyDescent="0.3">
      <c r="A4" s="15">
        <v>2</v>
      </c>
      <c r="B4" s="16" t="s">
        <v>7</v>
      </c>
      <c r="C4" s="17" t="s">
        <v>6</v>
      </c>
      <c r="D4" s="4">
        <v>2</v>
      </c>
      <c r="E4" s="4">
        <v>2</v>
      </c>
      <c r="G4" s="25">
        <v>39</v>
      </c>
      <c r="H4" s="28" t="s">
        <v>59</v>
      </c>
      <c r="I4" s="29" t="s">
        <v>60</v>
      </c>
      <c r="J4" s="4">
        <v>3300</v>
      </c>
      <c r="K4" s="4">
        <f>J4</f>
        <v>3300</v>
      </c>
      <c r="L4" s="4">
        <v>3300</v>
      </c>
      <c r="M4" s="4">
        <v>3300</v>
      </c>
      <c r="N4" s="4">
        <v>3300</v>
      </c>
      <c r="O4" s="4">
        <v>3300</v>
      </c>
      <c r="P4" s="4">
        <v>3300</v>
      </c>
      <c r="Q4" s="4">
        <v>3300</v>
      </c>
      <c r="AA4" s="31" t="s">
        <v>134</v>
      </c>
    </row>
    <row r="5" spans="1:27" x14ac:dyDescent="0.3">
      <c r="A5" s="15">
        <v>3</v>
      </c>
      <c r="B5" s="16" t="s">
        <v>8</v>
      </c>
      <c r="C5" s="17" t="s">
        <v>6</v>
      </c>
      <c r="D5" s="4">
        <v>2</v>
      </c>
      <c r="E5" s="4">
        <v>2</v>
      </c>
      <c r="G5" s="25">
        <v>40</v>
      </c>
      <c r="H5" s="28" t="s">
        <v>61</v>
      </c>
      <c r="I5" s="29" t="s">
        <v>62</v>
      </c>
      <c r="J5" s="4">
        <v>1000</v>
      </c>
      <c r="K5" s="4">
        <f>J5</f>
        <v>1000</v>
      </c>
      <c r="L5" s="4">
        <v>1100</v>
      </c>
      <c r="M5" s="4">
        <v>1100</v>
      </c>
      <c r="N5" s="4">
        <v>1100</v>
      </c>
      <c r="O5" s="4">
        <v>1100</v>
      </c>
      <c r="P5" s="4">
        <v>1100</v>
      </c>
      <c r="Q5" s="4">
        <v>1100</v>
      </c>
      <c r="S5">
        <f>IF(L5&gt;$K5,1,0)</f>
        <v>1</v>
      </c>
      <c r="T5">
        <f t="shared" ref="T5:X5" si="0">IF(M5&gt;$K5,1,0)</f>
        <v>1</v>
      </c>
      <c r="U5">
        <f t="shared" si="0"/>
        <v>1</v>
      </c>
      <c r="V5">
        <f t="shared" si="0"/>
        <v>1</v>
      </c>
      <c r="W5">
        <f t="shared" si="0"/>
        <v>1</v>
      </c>
      <c r="X5">
        <f t="shared" si="0"/>
        <v>1</v>
      </c>
    </row>
    <row r="6" spans="1:27" x14ac:dyDescent="0.3">
      <c r="A6" s="15">
        <v>4</v>
      </c>
      <c r="B6" s="16" t="s">
        <v>9</v>
      </c>
      <c r="C6" s="17" t="s">
        <v>6</v>
      </c>
      <c r="D6" s="4">
        <v>2</v>
      </c>
      <c r="E6" s="4">
        <v>2</v>
      </c>
      <c r="G6" s="25">
        <v>41</v>
      </c>
      <c r="H6" s="28" t="s">
        <v>63</v>
      </c>
      <c r="I6" s="27" t="s">
        <v>29</v>
      </c>
      <c r="J6" s="4">
        <v>95</v>
      </c>
      <c r="K6" s="4">
        <f>(ROUND(J6*0.95,0))</f>
        <v>90</v>
      </c>
      <c r="L6" s="4">
        <v>88</v>
      </c>
      <c r="M6" s="4">
        <v>88</v>
      </c>
      <c r="N6" s="4">
        <v>88</v>
      </c>
      <c r="O6" s="4">
        <v>88</v>
      </c>
      <c r="P6" s="4">
        <v>88</v>
      </c>
      <c r="Q6" s="4">
        <v>88</v>
      </c>
      <c r="S6">
        <f>IF(L6&lt;0.9*$K6,1,IF(L6&lt;=0.98*$K6,0.5,IF(L6&gt;0.98*$K6,0)))</f>
        <v>0.5</v>
      </c>
      <c r="T6">
        <f t="shared" ref="T6" si="1">IF(M6&lt;0.9*$K6,1,IF(M6&lt;=0.98*$K6,0.5,IF(M6&gt;0.98*$K6,0)))</f>
        <v>0.5</v>
      </c>
      <c r="U6">
        <f t="shared" ref="U6" si="2">IF(N6&lt;0.9*$K6,1,IF(N6&lt;=0.98*$K6,0.5,IF(N6&gt;0.98*$K6,0)))</f>
        <v>0.5</v>
      </c>
      <c r="V6">
        <f t="shared" ref="V6" si="3">IF(O6&lt;0.9*$K6,1,IF(O6&lt;=0.98*$K6,0.5,IF(O6&gt;0.98*$K6,0)))</f>
        <v>0.5</v>
      </c>
      <c r="W6">
        <f t="shared" ref="W6" si="4">IF(P6&lt;0.9*$K6,1,IF(P6&lt;=0.98*$K6,0.5,IF(P6&gt;0.98*$K6,0)))</f>
        <v>0.5</v>
      </c>
      <c r="X6">
        <f t="shared" ref="X6" si="5">IF(Q6&lt;0.9*$K6,1,IF(Q6&lt;=0.98*$K6,0.5,IF(Q6&gt;0.98*$K6,0)))</f>
        <v>0.5</v>
      </c>
    </row>
    <row r="7" spans="1:27" x14ac:dyDescent="0.3">
      <c r="A7" s="15">
        <v>5</v>
      </c>
      <c r="B7" s="16" t="s">
        <v>45</v>
      </c>
      <c r="C7" s="17" t="s">
        <v>6</v>
      </c>
      <c r="D7" s="4">
        <v>1</v>
      </c>
      <c r="E7" s="4">
        <v>1</v>
      </c>
      <c r="G7" s="25">
        <v>42</v>
      </c>
      <c r="H7" s="28" t="s">
        <v>64</v>
      </c>
      <c r="I7" s="29" t="s">
        <v>10</v>
      </c>
      <c r="J7" s="3">
        <v>3</v>
      </c>
      <c r="K7" s="3">
        <f>0.9*J7</f>
        <v>2.7</v>
      </c>
      <c r="L7" s="3">
        <v>2.8</v>
      </c>
      <c r="M7" s="3">
        <v>2.8</v>
      </c>
      <c r="N7" s="3">
        <v>2.8</v>
      </c>
      <c r="O7" s="3">
        <v>2.8</v>
      </c>
      <c r="P7" s="3">
        <v>2.8</v>
      </c>
      <c r="Q7" s="3">
        <v>2.8</v>
      </c>
      <c r="S7">
        <f>IF(L7&gt;$K7,1,0)</f>
        <v>1</v>
      </c>
      <c r="T7">
        <f t="shared" ref="T7:X7" si="6">IF(M7&gt;$K7,1,0)</f>
        <v>1</v>
      </c>
      <c r="U7">
        <f t="shared" si="6"/>
        <v>1</v>
      </c>
      <c r="V7">
        <f t="shared" si="6"/>
        <v>1</v>
      </c>
      <c r="W7">
        <f t="shared" si="6"/>
        <v>1</v>
      </c>
      <c r="X7">
        <f t="shared" si="6"/>
        <v>1</v>
      </c>
    </row>
    <row r="8" spans="1:27" x14ac:dyDescent="0.3">
      <c r="A8" s="15">
        <v>6</v>
      </c>
      <c r="B8" s="16" t="s">
        <v>11</v>
      </c>
      <c r="C8" s="17" t="s">
        <v>12</v>
      </c>
      <c r="D8" s="4">
        <f>'[1]Basic Inputs'!D4</f>
        <v>300</v>
      </c>
      <c r="E8" s="4">
        <f>'[1]Basic Inputs'!E4</f>
        <v>299.95</v>
      </c>
      <c r="G8" s="25">
        <v>43</v>
      </c>
      <c r="H8" s="28" t="s">
        <v>65</v>
      </c>
      <c r="I8" s="29"/>
      <c r="J8" s="11">
        <v>0.01</v>
      </c>
      <c r="K8" s="11">
        <f>J8</f>
        <v>0.01</v>
      </c>
      <c r="L8" s="12">
        <v>8.0000000000000002E-3</v>
      </c>
      <c r="M8" s="12">
        <v>8.0000000000000002E-3</v>
      </c>
      <c r="N8" s="12">
        <v>8.0000000000000002E-3</v>
      </c>
      <c r="O8" s="12">
        <v>8.0000000000000002E-3</v>
      </c>
      <c r="P8" s="12">
        <v>8.0000000000000002E-3</v>
      </c>
      <c r="Q8" s="12">
        <v>8.0000000000000002E-3</v>
      </c>
      <c r="S8">
        <f>IF(L8&lt;$K$8,1,0)</f>
        <v>1</v>
      </c>
      <c r="T8">
        <f t="shared" ref="T8:X8" si="7">IF(M8&lt;$K$8,1,0)</f>
        <v>1</v>
      </c>
      <c r="U8">
        <f t="shared" si="7"/>
        <v>1</v>
      </c>
      <c r="V8">
        <f t="shared" si="7"/>
        <v>1</v>
      </c>
      <c r="W8">
        <f t="shared" si="7"/>
        <v>1</v>
      </c>
      <c r="X8">
        <f t="shared" si="7"/>
        <v>1</v>
      </c>
    </row>
    <row r="9" spans="1:27" x14ac:dyDescent="0.3">
      <c r="A9" s="15">
        <v>7</v>
      </c>
      <c r="B9" s="16" t="s">
        <v>13</v>
      </c>
      <c r="C9" s="17" t="s">
        <v>14</v>
      </c>
      <c r="D9" s="4">
        <v>900</v>
      </c>
      <c r="E9" s="4">
        <v>900</v>
      </c>
      <c r="G9" s="25">
        <v>44</v>
      </c>
      <c r="H9" s="28" t="s">
        <v>66</v>
      </c>
      <c r="I9" s="29" t="s">
        <v>67</v>
      </c>
      <c r="J9" s="4">
        <v>1.5</v>
      </c>
      <c r="K9" s="4">
        <f>J9*0.8</f>
        <v>1.2000000000000002</v>
      </c>
      <c r="L9" s="4">
        <v>1</v>
      </c>
      <c r="M9" s="4">
        <v>1</v>
      </c>
      <c r="N9" s="4">
        <v>1.1000000000000001</v>
      </c>
      <c r="O9" s="4">
        <v>1</v>
      </c>
      <c r="P9" s="4">
        <v>1</v>
      </c>
      <c r="Q9" s="4">
        <v>1</v>
      </c>
      <c r="S9">
        <f>IF(L9&lt;0.9*$K9,1,IF(L9&lt;=0.98*$K9,0.5,IF(L9&gt;0.98*$K9,0)))</f>
        <v>1</v>
      </c>
      <c r="T9">
        <f t="shared" ref="T9:X9" si="8">IF(M9&lt;0.9*$K9,1,IF(M9&lt;=0.98*$K9,0.5,IF(M9&gt;0.98*$K9,0)))</f>
        <v>1</v>
      </c>
      <c r="U9">
        <f t="shared" si="8"/>
        <v>0.5</v>
      </c>
      <c r="V9">
        <f t="shared" si="8"/>
        <v>1</v>
      </c>
      <c r="W9">
        <f t="shared" si="8"/>
        <v>1</v>
      </c>
      <c r="X9">
        <f t="shared" si="8"/>
        <v>1</v>
      </c>
    </row>
    <row r="10" spans="1:27" x14ac:dyDescent="0.3">
      <c r="A10" s="15">
        <v>8</v>
      </c>
      <c r="B10" s="16" t="s">
        <v>15</v>
      </c>
      <c r="C10" s="17" t="s">
        <v>14</v>
      </c>
      <c r="D10" s="4">
        <v>1000</v>
      </c>
      <c r="E10" s="4">
        <v>1000</v>
      </c>
      <c r="G10" s="25">
        <v>45</v>
      </c>
      <c r="H10" s="28" t="s">
        <v>68</v>
      </c>
      <c r="I10" s="27" t="s">
        <v>29</v>
      </c>
      <c r="J10" s="4">
        <v>75</v>
      </c>
      <c r="K10" s="4">
        <f>(ROUND(J10*0.95,0))</f>
        <v>71</v>
      </c>
      <c r="L10" s="4">
        <v>200</v>
      </c>
      <c r="M10" s="4">
        <v>65</v>
      </c>
      <c r="N10" s="4">
        <v>57</v>
      </c>
      <c r="O10" s="4">
        <v>65</v>
      </c>
      <c r="P10" s="4">
        <v>64</v>
      </c>
      <c r="Q10" s="4">
        <v>65</v>
      </c>
      <c r="S10">
        <f>IF(L10&lt;0.9*$K10,1,IF(L10&lt;=0.98*$K10,0.5,IF(L10&gt;0.98*$K10,0)))</f>
        <v>0</v>
      </c>
      <c r="T10">
        <f t="shared" ref="T10" si="9">IF(M10&lt;0.9*$K10,1,IF(M10&lt;=0.98*$K10,0.5,IF(M10&gt;0.98*$K10,0)))</f>
        <v>0.5</v>
      </c>
      <c r="U10">
        <f t="shared" ref="U10" si="10">IF(N10&lt;0.9*$K10,1,IF(N10&lt;=0.98*$K10,0.5,IF(N10&gt;0.98*$K10,0)))</f>
        <v>1</v>
      </c>
      <c r="V10">
        <f t="shared" ref="V10" si="11">IF(O10&lt;0.9*$K10,1,IF(O10&lt;=0.98*$K10,0.5,IF(O10&gt;0.98*$K10,0)))</f>
        <v>0.5</v>
      </c>
      <c r="W10">
        <f t="shared" ref="W10" si="12">IF(P10&lt;0.9*$K10,1,IF(P10&lt;=0.98*$K10,0.5,IF(P10&gt;0.98*$K10,0)))</f>
        <v>0.5</v>
      </c>
      <c r="X10">
        <f t="shared" ref="X10" si="13">IF(Q10&lt;0.9*$K10,1,IF(Q10&lt;=0.98*$K10,0.5,IF(Q10&gt;0.98*$K10,0)))</f>
        <v>0.5</v>
      </c>
    </row>
    <row r="11" spans="1:27" x14ac:dyDescent="0.3">
      <c r="A11" s="15">
        <v>9</v>
      </c>
      <c r="B11" s="16" t="s">
        <v>16</v>
      </c>
      <c r="C11" s="17" t="s">
        <v>14</v>
      </c>
      <c r="D11" s="4">
        <v>800</v>
      </c>
      <c r="E11" s="4">
        <v>800</v>
      </c>
      <c r="G11" s="25">
        <v>46</v>
      </c>
      <c r="H11" s="46" t="s">
        <v>121</v>
      </c>
      <c r="I11" s="27"/>
      <c r="J11" s="47">
        <f>1.732*J4*J3*0.85/1000</f>
        <v>170.03910000000002</v>
      </c>
      <c r="K11" s="4">
        <f>(ROUND(J11*0.98,0))</f>
        <v>167</v>
      </c>
      <c r="L11" s="47">
        <f t="shared" ref="L11:Q11" si="14">1.732*L4*L3*0.85/1000</f>
        <v>131.17302000000001</v>
      </c>
      <c r="M11" s="47">
        <f t="shared" si="14"/>
        <v>140.88954000000001</v>
      </c>
      <c r="N11" s="47">
        <f t="shared" si="14"/>
        <v>131.17302000000001</v>
      </c>
      <c r="O11" s="47">
        <f t="shared" si="14"/>
        <v>150.60605999999999</v>
      </c>
      <c r="P11" s="47">
        <f t="shared" si="14"/>
        <v>160.32258000000002</v>
      </c>
      <c r="Q11" s="47">
        <f t="shared" si="14"/>
        <v>0</v>
      </c>
      <c r="S11">
        <f>IF(L11&lt;0.95*$K11,1,IF(L11&lt;=1*$K11,0.5,IF(L11&gt;1*$K11,0)))</f>
        <v>1</v>
      </c>
      <c r="T11">
        <f t="shared" ref="T11:X11" si="15">IF(M11&lt;0.95*$K11,1,IF(M11&lt;=1*$K11,0.5,IF(M11&gt;1*$K11,0)))</f>
        <v>1</v>
      </c>
      <c r="U11">
        <f t="shared" si="15"/>
        <v>1</v>
      </c>
      <c r="V11">
        <f t="shared" si="15"/>
        <v>1</v>
      </c>
      <c r="W11">
        <f t="shared" si="15"/>
        <v>0.5</v>
      </c>
      <c r="X11">
        <f t="shared" si="15"/>
        <v>1</v>
      </c>
    </row>
    <row r="12" spans="1:27" x14ac:dyDescent="0.3">
      <c r="A12" s="15">
        <v>10</v>
      </c>
      <c r="B12" s="18" t="s">
        <v>17</v>
      </c>
      <c r="C12" s="17" t="s">
        <v>14</v>
      </c>
      <c r="D12" s="4">
        <v>103.9</v>
      </c>
      <c r="E12" s="4">
        <v>115.3</v>
      </c>
      <c r="G12" s="99" t="s">
        <v>69</v>
      </c>
      <c r="H12" s="100"/>
      <c r="I12" s="29"/>
      <c r="J12" s="5"/>
      <c r="K12" s="5"/>
      <c r="L12" s="5"/>
      <c r="M12" s="4"/>
      <c r="N12" s="4"/>
      <c r="O12" s="4"/>
      <c r="P12" s="4"/>
      <c r="Q12" s="4"/>
    </row>
    <row r="13" spans="1:27" x14ac:dyDescent="0.3">
      <c r="A13" s="15">
        <v>11</v>
      </c>
      <c r="B13" s="19" t="s">
        <v>18</v>
      </c>
      <c r="C13" s="20" t="s">
        <v>19</v>
      </c>
      <c r="D13" s="4">
        <v>1.0129999999999999</v>
      </c>
      <c r="E13" s="4">
        <v>1.0129999999999999</v>
      </c>
      <c r="G13" s="25">
        <v>47</v>
      </c>
      <c r="H13" s="28" t="s">
        <v>70</v>
      </c>
      <c r="I13" s="29" t="s">
        <v>67</v>
      </c>
      <c r="J13" s="4">
        <v>1.5</v>
      </c>
      <c r="K13" s="4">
        <f>J13*0.8</f>
        <v>1.2000000000000002</v>
      </c>
      <c r="L13" s="4">
        <v>1.1000000000000001</v>
      </c>
      <c r="M13" s="4">
        <v>1</v>
      </c>
      <c r="N13" s="4">
        <v>1</v>
      </c>
      <c r="O13" s="4">
        <v>1</v>
      </c>
      <c r="P13" s="4">
        <v>1</v>
      </c>
      <c r="Q13" s="4">
        <v>1</v>
      </c>
      <c r="S13">
        <f t="shared" ref="S13:X14" si="16">IF(L13&lt;0.9*$K13,1,IF(L13&lt;=0.98*$K13,0.5,IF(L13&gt;0.98*$K13,0)))</f>
        <v>0.5</v>
      </c>
      <c r="T13">
        <f t="shared" si="16"/>
        <v>1</v>
      </c>
      <c r="U13">
        <f t="shared" si="16"/>
        <v>1</v>
      </c>
      <c r="V13">
        <f t="shared" si="16"/>
        <v>1</v>
      </c>
      <c r="W13">
        <f t="shared" si="16"/>
        <v>1</v>
      </c>
      <c r="X13">
        <f t="shared" si="16"/>
        <v>1</v>
      </c>
    </row>
    <row r="14" spans="1:27" x14ac:dyDescent="0.3">
      <c r="A14" s="15">
        <v>12</v>
      </c>
      <c r="B14" s="19" t="s">
        <v>20</v>
      </c>
      <c r="C14" s="17" t="s">
        <v>21</v>
      </c>
      <c r="D14" s="4">
        <v>35</v>
      </c>
      <c r="E14" s="4">
        <v>35</v>
      </c>
      <c r="G14" s="25">
        <v>48</v>
      </c>
      <c r="H14" s="28" t="s">
        <v>71</v>
      </c>
      <c r="I14" s="27" t="s">
        <v>29</v>
      </c>
      <c r="J14" s="4">
        <v>75</v>
      </c>
      <c r="K14" s="4">
        <f>(ROUND(J14*0.95,0))</f>
        <v>71</v>
      </c>
      <c r="L14" s="4">
        <v>62</v>
      </c>
      <c r="M14" s="4">
        <v>65</v>
      </c>
      <c r="N14" s="4">
        <v>65</v>
      </c>
      <c r="O14" s="4">
        <v>65</v>
      </c>
      <c r="P14" s="4">
        <v>65</v>
      </c>
      <c r="Q14" s="4">
        <v>65</v>
      </c>
      <c r="S14">
        <f t="shared" si="16"/>
        <v>1</v>
      </c>
      <c r="T14">
        <f t="shared" si="16"/>
        <v>0.5</v>
      </c>
      <c r="U14">
        <f t="shared" si="16"/>
        <v>0.5</v>
      </c>
      <c r="V14">
        <f t="shared" si="16"/>
        <v>0.5</v>
      </c>
      <c r="W14">
        <f t="shared" si="16"/>
        <v>0.5</v>
      </c>
      <c r="X14">
        <f t="shared" si="16"/>
        <v>0.5</v>
      </c>
    </row>
    <row r="15" spans="1:27" x14ac:dyDescent="0.3">
      <c r="A15" s="15">
        <v>13</v>
      </c>
      <c r="B15" s="19" t="s">
        <v>22</v>
      </c>
      <c r="C15" s="17" t="s">
        <v>23</v>
      </c>
      <c r="D15" s="4">
        <v>50</v>
      </c>
      <c r="E15" s="4">
        <v>50</v>
      </c>
      <c r="G15" s="25">
        <v>49</v>
      </c>
      <c r="H15" s="26" t="s">
        <v>72</v>
      </c>
      <c r="I15" s="29"/>
      <c r="J15" s="4">
        <v>0</v>
      </c>
      <c r="K15" s="4">
        <v>1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S15">
        <f t="shared" ref="S15:X16" si="17">IF(L15&lt;$K15,1,IF(L15&lt;=2*$K15,0.5,IF(L15&gt;2*$K15,0)))</f>
        <v>1</v>
      </c>
      <c r="T15">
        <f t="shared" si="17"/>
        <v>1</v>
      </c>
      <c r="U15">
        <f t="shared" si="17"/>
        <v>1</v>
      </c>
      <c r="V15">
        <f t="shared" si="17"/>
        <v>1</v>
      </c>
      <c r="W15">
        <f t="shared" si="17"/>
        <v>1</v>
      </c>
      <c r="X15">
        <f t="shared" si="17"/>
        <v>1</v>
      </c>
    </row>
    <row r="16" spans="1:27" x14ac:dyDescent="0.3">
      <c r="A16" s="15">
        <v>14</v>
      </c>
      <c r="B16" s="18" t="s">
        <v>24</v>
      </c>
      <c r="C16" s="17" t="s">
        <v>10</v>
      </c>
      <c r="D16" s="4">
        <v>6</v>
      </c>
      <c r="E16" s="4">
        <f>COUNTIF(D38:D43,"AVAILABLE")</f>
        <v>6</v>
      </c>
      <c r="G16" s="25">
        <v>50</v>
      </c>
      <c r="H16" s="26" t="s">
        <v>122</v>
      </c>
      <c r="I16" s="30" t="s">
        <v>73</v>
      </c>
      <c r="J16" s="4">
        <f>8760/2</f>
        <v>4380</v>
      </c>
      <c r="K16" s="4">
        <f>J16*0.8</f>
        <v>3504</v>
      </c>
      <c r="L16" s="4">
        <v>8000</v>
      </c>
      <c r="M16" s="4">
        <v>2200</v>
      </c>
      <c r="N16" s="4">
        <v>1500</v>
      </c>
      <c r="O16" s="4">
        <v>2300</v>
      </c>
      <c r="P16" s="4">
        <v>2250</v>
      </c>
      <c r="Q16" s="4">
        <v>1500</v>
      </c>
      <c r="S16">
        <f t="shared" si="17"/>
        <v>0</v>
      </c>
      <c r="T16">
        <f t="shared" si="17"/>
        <v>1</v>
      </c>
      <c r="U16">
        <f t="shared" si="17"/>
        <v>1</v>
      </c>
      <c r="V16">
        <f t="shared" si="17"/>
        <v>1</v>
      </c>
      <c r="W16">
        <f t="shared" si="17"/>
        <v>1</v>
      </c>
      <c r="X16">
        <f t="shared" si="17"/>
        <v>1</v>
      </c>
    </row>
    <row r="17" spans="1:24" ht="14.6" customHeight="1" x14ac:dyDescent="0.3">
      <c r="A17" s="15">
        <v>15</v>
      </c>
      <c r="B17" s="18" t="s">
        <v>46</v>
      </c>
      <c r="C17" s="17" t="s">
        <v>14</v>
      </c>
      <c r="D17" s="4">
        <v>28</v>
      </c>
      <c r="E17" s="4">
        <v>28</v>
      </c>
      <c r="G17" s="99" t="s">
        <v>74</v>
      </c>
      <c r="H17" s="100"/>
      <c r="I17" s="29"/>
      <c r="J17" s="5"/>
      <c r="K17" s="5"/>
      <c r="L17" s="5"/>
      <c r="M17" s="4"/>
      <c r="N17" s="4"/>
      <c r="O17" s="4"/>
      <c r="P17" s="4"/>
      <c r="Q17" s="4"/>
    </row>
    <row r="18" spans="1:24" x14ac:dyDescent="0.3">
      <c r="A18" s="15">
        <v>16</v>
      </c>
      <c r="B18" s="18" t="s">
        <v>26</v>
      </c>
      <c r="C18" s="17" t="s">
        <v>27</v>
      </c>
      <c r="D18" s="6">
        <v>16.670000000000002</v>
      </c>
      <c r="E18" s="4">
        <v>16</v>
      </c>
      <c r="G18" s="25">
        <v>51</v>
      </c>
      <c r="H18" s="26" t="s">
        <v>170</v>
      </c>
      <c r="I18" s="27" t="s">
        <v>14</v>
      </c>
      <c r="J18" s="4">
        <v>30</v>
      </c>
      <c r="K18" s="4">
        <f>(ROUND(J18*0.95,0))</f>
        <v>29</v>
      </c>
      <c r="L18" s="4">
        <v>22</v>
      </c>
      <c r="M18" s="4">
        <v>24.8</v>
      </c>
      <c r="N18" s="4">
        <v>24</v>
      </c>
      <c r="O18" s="4">
        <v>23.7</v>
      </c>
      <c r="P18" s="4">
        <v>20.8</v>
      </c>
      <c r="Q18" s="4">
        <v>0</v>
      </c>
      <c r="S18">
        <f t="shared" ref="S18:X18" si="18">IF(L18&lt;0.9*$K18,1,IF(L18&lt;=0.98*$K18,0.5,IF(L18&gt;0.98*$K18,0)))</f>
        <v>1</v>
      </c>
      <c r="T18">
        <f t="shared" si="18"/>
        <v>1</v>
      </c>
      <c r="U18">
        <f t="shared" si="18"/>
        <v>1</v>
      </c>
      <c r="V18">
        <f t="shared" si="18"/>
        <v>1</v>
      </c>
      <c r="W18">
        <f t="shared" si="18"/>
        <v>1</v>
      </c>
      <c r="X18">
        <f t="shared" si="18"/>
        <v>1</v>
      </c>
    </row>
    <row r="19" spans="1:24" x14ac:dyDescent="0.3">
      <c r="A19" s="15">
        <v>17</v>
      </c>
      <c r="B19" s="18" t="s">
        <v>28</v>
      </c>
      <c r="C19" s="17" t="s">
        <v>29</v>
      </c>
      <c r="D19" s="6">
        <v>538</v>
      </c>
      <c r="E19" s="4">
        <v>530</v>
      </c>
      <c r="G19" s="25">
        <v>52</v>
      </c>
      <c r="H19" s="26" t="s">
        <v>171</v>
      </c>
      <c r="I19" s="27" t="s">
        <v>14</v>
      </c>
      <c r="J19" s="4">
        <v>60</v>
      </c>
      <c r="K19" s="4">
        <f>ROUND(J19*1,0)</f>
        <v>60</v>
      </c>
      <c r="L19" s="4">
        <v>65</v>
      </c>
      <c r="M19" s="4">
        <v>65</v>
      </c>
      <c r="N19" s="4">
        <v>65</v>
      </c>
      <c r="O19" s="4">
        <v>65</v>
      </c>
      <c r="P19" s="4">
        <v>65</v>
      </c>
      <c r="Q19" s="4">
        <v>65</v>
      </c>
      <c r="S19">
        <f t="shared" ref="S19:X19" si="19">IF(L19&lt;0.6*$K19,0,IF(L19&lt;=0.98*$K19,0.5,IF(L19&gt;0.98*$K19,1)))</f>
        <v>1</v>
      </c>
      <c r="T19">
        <f t="shared" si="19"/>
        <v>1</v>
      </c>
      <c r="U19">
        <f t="shared" si="19"/>
        <v>1</v>
      </c>
      <c r="V19">
        <f t="shared" si="19"/>
        <v>1</v>
      </c>
      <c r="W19">
        <f t="shared" si="19"/>
        <v>1</v>
      </c>
      <c r="X19">
        <f t="shared" si="19"/>
        <v>1</v>
      </c>
    </row>
    <row r="20" spans="1:24" x14ac:dyDescent="0.3">
      <c r="A20" s="15">
        <v>18</v>
      </c>
      <c r="B20" s="18" t="s">
        <v>30</v>
      </c>
      <c r="C20" s="17" t="s">
        <v>29</v>
      </c>
      <c r="D20" s="6">
        <v>538</v>
      </c>
      <c r="E20" s="4">
        <v>535</v>
      </c>
      <c r="G20" s="25">
        <v>53</v>
      </c>
      <c r="H20" s="26" t="s">
        <v>172</v>
      </c>
      <c r="I20" s="27" t="s">
        <v>29</v>
      </c>
      <c r="J20" s="4">
        <v>170</v>
      </c>
      <c r="K20" s="4">
        <f>(ROUND(J20*0.95,0))</f>
        <v>162</v>
      </c>
      <c r="L20" s="4">
        <v>175</v>
      </c>
      <c r="M20" s="4">
        <v>175</v>
      </c>
      <c r="N20" s="4">
        <v>175</v>
      </c>
      <c r="O20" s="4">
        <v>175</v>
      </c>
      <c r="P20" s="4">
        <v>175</v>
      </c>
      <c r="Q20" s="4">
        <v>175</v>
      </c>
      <c r="S20">
        <f t="shared" ref="S20:X22" si="20">IF(L20&lt;0.9*$K20,1,IF(L20&lt;=0.98*$K20,0.5,IF(L20&gt;0.98*$K20,0)))</f>
        <v>0</v>
      </c>
      <c r="T20">
        <f t="shared" si="20"/>
        <v>0</v>
      </c>
      <c r="U20">
        <f t="shared" si="20"/>
        <v>0</v>
      </c>
      <c r="V20">
        <f t="shared" si="20"/>
        <v>0</v>
      </c>
      <c r="W20">
        <f t="shared" si="20"/>
        <v>0</v>
      </c>
      <c r="X20">
        <f t="shared" si="20"/>
        <v>0</v>
      </c>
    </row>
    <row r="21" spans="1:24" x14ac:dyDescent="0.3">
      <c r="A21" s="15">
        <v>19</v>
      </c>
      <c r="B21" s="18" t="s">
        <v>32</v>
      </c>
      <c r="C21" s="17" t="s">
        <v>14</v>
      </c>
      <c r="D21" s="4">
        <v>26.2</v>
      </c>
      <c r="E21" s="4">
        <v>35</v>
      </c>
      <c r="G21" s="25">
        <v>54</v>
      </c>
      <c r="H21" s="26" t="s">
        <v>125</v>
      </c>
      <c r="I21" s="27" t="s">
        <v>75</v>
      </c>
      <c r="J21" s="4">
        <v>200</v>
      </c>
      <c r="K21" s="4">
        <f>(ROUND(J21*0.95,0))</f>
        <v>190</v>
      </c>
      <c r="L21" s="4">
        <v>180</v>
      </c>
      <c r="M21" s="4">
        <v>180</v>
      </c>
      <c r="N21" s="4">
        <v>180</v>
      </c>
      <c r="O21" s="4">
        <v>180</v>
      </c>
      <c r="P21" s="4">
        <v>180</v>
      </c>
      <c r="Q21" s="4">
        <v>60</v>
      </c>
      <c r="S21">
        <f t="shared" si="20"/>
        <v>0.5</v>
      </c>
      <c r="T21">
        <f t="shared" si="20"/>
        <v>0.5</v>
      </c>
      <c r="U21">
        <f t="shared" si="20"/>
        <v>0.5</v>
      </c>
      <c r="V21">
        <f t="shared" si="20"/>
        <v>0.5</v>
      </c>
      <c r="W21">
        <f t="shared" si="20"/>
        <v>0.5</v>
      </c>
      <c r="X21">
        <f t="shared" si="20"/>
        <v>1</v>
      </c>
    </row>
    <row r="22" spans="1:24" x14ac:dyDescent="0.3">
      <c r="A22" s="15">
        <v>20</v>
      </c>
      <c r="B22" s="18" t="s">
        <v>33</v>
      </c>
      <c r="C22" s="17" t="s">
        <v>14</v>
      </c>
      <c r="D22" s="4">
        <v>0</v>
      </c>
      <c r="E22" s="4">
        <v>25</v>
      </c>
      <c r="G22" s="25">
        <v>55</v>
      </c>
      <c r="H22" s="26" t="s">
        <v>173</v>
      </c>
      <c r="I22" s="27" t="s">
        <v>29</v>
      </c>
      <c r="J22" s="4">
        <v>75</v>
      </c>
      <c r="K22" s="4">
        <v>71</v>
      </c>
      <c r="L22" s="4">
        <v>67</v>
      </c>
      <c r="M22" s="4">
        <v>62</v>
      </c>
      <c r="N22" s="4">
        <v>65</v>
      </c>
      <c r="O22" s="4">
        <v>67</v>
      </c>
      <c r="P22" s="4">
        <v>65</v>
      </c>
      <c r="Q22" s="4">
        <v>0</v>
      </c>
      <c r="S22">
        <f t="shared" si="20"/>
        <v>0.5</v>
      </c>
      <c r="T22">
        <f t="shared" si="20"/>
        <v>1</v>
      </c>
      <c r="U22">
        <f t="shared" si="20"/>
        <v>0.5</v>
      </c>
      <c r="V22">
        <f t="shared" si="20"/>
        <v>0.5</v>
      </c>
      <c r="W22">
        <f t="shared" si="20"/>
        <v>0.5</v>
      </c>
      <c r="X22">
        <f t="shared" si="20"/>
        <v>1</v>
      </c>
    </row>
    <row r="23" spans="1:24" x14ac:dyDescent="0.3">
      <c r="A23" s="15">
        <v>21</v>
      </c>
      <c r="B23" s="18" t="s">
        <v>175</v>
      </c>
      <c r="C23" s="17" t="s">
        <v>29</v>
      </c>
      <c r="D23" s="8">
        <v>570</v>
      </c>
      <c r="E23" s="8">
        <v>585</v>
      </c>
      <c r="G23" s="25">
        <v>56</v>
      </c>
      <c r="H23" s="26" t="s">
        <v>128</v>
      </c>
      <c r="I23" s="27" t="s">
        <v>76</v>
      </c>
      <c r="J23" s="4">
        <v>160</v>
      </c>
      <c r="K23" s="4">
        <f>(ROUND(J23*0.95,0))</f>
        <v>152</v>
      </c>
      <c r="L23" s="4">
        <v>200</v>
      </c>
      <c r="M23" s="4">
        <v>200</v>
      </c>
      <c r="N23" s="4">
        <v>200</v>
      </c>
      <c r="O23" s="4">
        <v>200</v>
      </c>
      <c r="P23" s="4">
        <v>200</v>
      </c>
      <c r="Q23" s="4">
        <v>20</v>
      </c>
      <c r="S23">
        <f t="shared" ref="S23:X23" si="21">IF(L23&lt;0.8*$K23,0,IF(L23&lt;=0.9*$K23,0.5,IF(L23&gt;0.9*$K23,1)))</f>
        <v>1</v>
      </c>
      <c r="T23">
        <f t="shared" si="21"/>
        <v>1</v>
      </c>
      <c r="U23">
        <f t="shared" si="21"/>
        <v>1</v>
      </c>
      <c r="V23">
        <f t="shared" si="21"/>
        <v>1</v>
      </c>
      <c r="W23">
        <f t="shared" si="21"/>
        <v>1</v>
      </c>
      <c r="X23">
        <f t="shared" si="21"/>
        <v>0</v>
      </c>
    </row>
    <row r="24" spans="1:24" x14ac:dyDescent="0.3">
      <c r="A24" s="15">
        <v>22</v>
      </c>
      <c r="B24" s="18" t="s">
        <v>31</v>
      </c>
      <c r="C24" s="17" t="s">
        <v>29</v>
      </c>
      <c r="D24" s="4">
        <v>339.11</v>
      </c>
      <c r="E24" s="4">
        <v>345</v>
      </c>
      <c r="G24" s="25">
        <v>57</v>
      </c>
      <c r="H24" s="26" t="s">
        <v>129</v>
      </c>
      <c r="I24" s="27" t="s">
        <v>75</v>
      </c>
      <c r="J24" s="4">
        <v>2000</v>
      </c>
      <c r="K24" s="4">
        <f>(ROUND(J24*0.95,0))</f>
        <v>1900</v>
      </c>
      <c r="L24" s="4">
        <v>1500</v>
      </c>
      <c r="M24" s="4">
        <v>1500</v>
      </c>
      <c r="N24" s="4">
        <v>1500</v>
      </c>
      <c r="O24" s="4">
        <v>1500</v>
      </c>
      <c r="P24" s="4">
        <v>1500</v>
      </c>
      <c r="Q24" s="4">
        <v>20</v>
      </c>
      <c r="S24">
        <f t="shared" ref="S24:X24" si="22">IF(L24&lt;0.9*$K24,1,IF(L24&lt;=0.98*$K24,0.5,IF(L24&gt;0.98*$K24,0)))</f>
        <v>1</v>
      </c>
      <c r="T24">
        <f t="shared" si="22"/>
        <v>1</v>
      </c>
      <c r="U24">
        <f t="shared" si="22"/>
        <v>1</v>
      </c>
      <c r="V24">
        <f t="shared" si="22"/>
        <v>1</v>
      </c>
      <c r="W24">
        <f t="shared" si="22"/>
        <v>1</v>
      </c>
      <c r="X24">
        <f t="shared" si="22"/>
        <v>1</v>
      </c>
    </row>
    <row r="25" spans="1:24" x14ac:dyDescent="0.3">
      <c r="A25" s="15">
        <v>23</v>
      </c>
      <c r="B25" s="18" t="s">
        <v>36</v>
      </c>
      <c r="C25" s="17" t="s">
        <v>23</v>
      </c>
      <c r="D25" s="4">
        <v>3.5</v>
      </c>
      <c r="E25" s="4">
        <v>3.8</v>
      </c>
      <c r="G25" s="25">
        <v>58</v>
      </c>
      <c r="H25" s="26" t="s">
        <v>174</v>
      </c>
      <c r="I25" s="30" t="s">
        <v>10</v>
      </c>
      <c r="J25" s="4" t="s">
        <v>77</v>
      </c>
      <c r="K25" s="4" t="str">
        <f>J25</f>
        <v>HEALTHY</v>
      </c>
      <c r="L25" s="4" t="s">
        <v>77</v>
      </c>
      <c r="M25" s="4" t="s">
        <v>77</v>
      </c>
      <c r="N25" s="4" t="s">
        <v>77</v>
      </c>
      <c r="O25" s="4" t="s">
        <v>77</v>
      </c>
      <c r="P25" s="4" t="s">
        <v>77</v>
      </c>
      <c r="Q25" s="4" t="s">
        <v>77</v>
      </c>
      <c r="S25">
        <f>IF(L25 = "HEALTHY",1,0)</f>
        <v>1</v>
      </c>
      <c r="T25">
        <f t="shared" ref="T25:X25" si="23">IF(M25 = "HEALTHY",1,0)</f>
        <v>1</v>
      </c>
      <c r="U25">
        <f t="shared" si="23"/>
        <v>1</v>
      </c>
      <c r="V25">
        <f t="shared" si="23"/>
        <v>1</v>
      </c>
      <c r="W25">
        <f t="shared" si="23"/>
        <v>1</v>
      </c>
      <c r="X25">
        <f t="shared" si="23"/>
        <v>1</v>
      </c>
    </row>
    <row r="26" spans="1:24" x14ac:dyDescent="0.3">
      <c r="A26" s="15">
        <v>24</v>
      </c>
      <c r="B26" s="18" t="s">
        <v>34</v>
      </c>
      <c r="C26" s="17" t="s">
        <v>35</v>
      </c>
      <c r="D26" s="6">
        <f>1920/0.88</f>
        <v>2181.818181818182</v>
      </c>
      <c r="E26" s="4">
        <v>2372</v>
      </c>
      <c r="G26" s="25">
        <v>59</v>
      </c>
      <c r="H26" s="26" t="s">
        <v>78</v>
      </c>
      <c r="I26" s="27" t="s">
        <v>29</v>
      </c>
      <c r="J26" s="4">
        <v>65</v>
      </c>
      <c r="K26" s="4">
        <f>(ROUND(J26*0.95,0))</f>
        <v>62</v>
      </c>
      <c r="L26" s="4">
        <v>57</v>
      </c>
      <c r="M26" s="4">
        <v>55</v>
      </c>
      <c r="N26" s="4">
        <v>58</v>
      </c>
      <c r="O26" s="4">
        <v>57</v>
      </c>
      <c r="P26" s="4">
        <v>58</v>
      </c>
      <c r="Q26" s="4">
        <v>27</v>
      </c>
      <c r="S26">
        <f t="shared" ref="S26:X26" si="24">IF(L26&lt;0.9*$K26,1,IF(L26&lt;=0.98*$K26,0.5,IF(L26&gt;0.98*$K26,0)))</f>
        <v>0.5</v>
      </c>
      <c r="T26">
        <f t="shared" si="24"/>
        <v>1</v>
      </c>
      <c r="U26">
        <f t="shared" si="24"/>
        <v>0.5</v>
      </c>
      <c r="V26">
        <f t="shared" si="24"/>
        <v>0.5</v>
      </c>
      <c r="W26">
        <f t="shared" si="24"/>
        <v>0.5</v>
      </c>
      <c r="X26">
        <f t="shared" si="24"/>
        <v>1</v>
      </c>
    </row>
    <row r="27" spans="1:24" x14ac:dyDescent="0.3">
      <c r="A27" s="3"/>
      <c r="B27" s="7" t="s">
        <v>55</v>
      </c>
      <c r="C27" s="4"/>
      <c r="D27" s="4"/>
      <c r="E27" s="4"/>
      <c r="G27" s="25">
        <v>60</v>
      </c>
      <c r="H27" s="26" t="s">
        <v>79</v>
      </c>
      <c r="I27" s="27" t="s">
        <v>80</v>
      </c>
      <c r="J27" s="4">
        <v>0.25</v>
      </c>
      <c r="K27" s="4">
        <f>J27</f>
        <v>0.25</v>
      </c>
      <c r="L27" s="4">
        <v>0.3</v>
      </c>
      <c r="M27" s="4">
        <v>0.18</v>
      </c>
      <c r="N27" s="4">
        <v>0.3</v>
      </c>
      <c r="O27" s="4">
        <v>0.3</v>
      </c>
      <c r="P27" s="4">
        <v>0.3</v>
      </c>
      <c r="Q27" s="4">
        <v>0.3</v>
      </c>
      <c r="S27">
        <f t="shared" ref="S27:X27" si="25">IF(L27&lt;0.9*$K27,0,IF(L27&lt;=0.98*$K27,0.5,IF(L27&gt;0.98*$K27,1)))</f>
        <v>1</v>
      </c>
      <c r="T27">
        <f t="shared" si="25"/>
        <v>0</v>
      </c>
      <c r="U27">
        <f t="shared" si="25"/>
        <v>1</v>
      </c>
      <c r="V27">
        <f t="shared" si="25"/>
        <v>1</v>
      </c>
      <c r="W27">
        <f t="shared" si="25"/>
        <v>1</v>
      </c>
      <c r="X27">
        <f t="shared" si="25"/>
        <v>1</v>
      </c>
    </row>
    <row r="28" spans="1:24" x14ac:dyDescent="0.3">
      <c r="A28" s="3"/>
      <c r="B28" s="7" t="s">
        <v>47</v>
      </c>
      <c r="C28" s="4"/>
      <c r="D28" s="4"/>
      <c r="E28" s="4"/>
      <c r="G28" s="25">
        <v>61</v>
      </c>
      <c r="H28" s="26" t="s">
        <v>81</v>
      </c>
      <c r="I28" s="27" t="s">
        <v>10</v>
      </c>
      <c r="J28" s="4" t="s">
        <v>77</v>
      </c>
      <c r="K28" s="4" t="str">
        <f t="shared" ref="K28:K30" si="26">J28</f>
        <v>HEALTHY</v>
      </c>
      <c r="L28" s="4" t="s">
        <v>77</v>
      </c>
      <c r="M28" s="4" t="s">
        <v>77</v>
      </c>
      <c r="N28" s="4" t="s">
        <v>77</v>
      </c>
      <c r="O28" s="4" t="s">
        <v>77</v>
      </c>
      <c r="P28" s="4" t="s">
        <v>77</v>
      </c>
      <c r="Q28" s="4" t="s">
        <v>77</v>
      </c>
      <c r="S28">
        <f t="shared" ref="S28:S30" si="27">IF(L28 = "HEALTHY",1,0)</f>
        <v>1</v>
      </c>
      <c r="T28">
        <f t="shared" ref="T28:T30" si="28">IF(M28 = "HEALTHY",1,0)</f>
        <v>1</v>
      </c>
      <c r="U28">
        <f t="shared" ref="U28:U30" si="29">IF(N28 = "HEALTHY",1,0)</f>
        <v>1</v>
      </c>
      <c r="V28">
        <f t="shared" ref="V28:V30" si="30">IF(O28 = "HEALTHY",1,0)</f>
        <v>1</v>
      </c>
      <c r="W28">
        <f t="shared" ref="W28:W30" si="31">IF(P28 = "HEALTHY",1,0)</f>
        <v>1</v>
      </c>
      <c r="X28">
        <f t="shared" ref="X28:X30" si="32">IF(Q28 = "HEALTHY",1,0)</f>
        <v>1</v>
      </c>
    </row>
    <row r="29" spans="1:24" x14ac:dyDescent="0.3">
      <c r="A29" s="15">
        <v>25</v>
      </c>
      <c r="B29" s="18" t="s">
        <v>48</v>
      </c>
      <c r="C29" s="17" t="s">
        <v>23</v>
      </c>
      <c r="D29" s="4">
        <v>11</v>
      </c>
      <c r="E29" s="4">
        <v>11</v>
      </c>
      <c r="G29" s="25">
        <v>62</v>
      </c>
      <c r="H29" s="26" t="s">
        <v>82</v>
      </c>
      <c r="I29" s="27" t="s">
        <v>23</v>
      </c>
      <c r="J29" s="4" t="s">
        <v>77</v>
      </c>
      <c r="K29" s="4" t="str">
        <f t="shared" si="26"/>
        <v>HEALTHY</v>
      </c>
      <c r="L29" s="4" t="s">
        <v>77</v>
      </c>
      <c r="M29" s="4" t="s">
        <v>77</v>
      </c>
      <c r="N29" s="4" t="s">
        <v>77</v>
      </c>
      <c r="O29" s="4" t="s">
        <v>77</v>
      </c>
      <c r="P29" s="4" t="s">
        <v>77</v>
      </c>
      <c r="Q29" s="4" t="s">
        <v>77</v>
      </c>
      <c r="S29">
        <f t="shared" si="27"/>
        <v>1</v>
      </c>
      <c r="T29">
        <f t="shared" si="28"/>
        <v>1</v>
      </c>
      <c r="U29">
        <f t="shared" si="29"/>
        <v>1</v>
      </c>
      <c r="V29">
        <f t="shared" si="30"/>
        <v>1</v>
      </c>
      <c r="W29">
        <f t="shared" si="31"/>
        <v>1</v>
      </c>
      <c r="X29">
        <f t="shared" si="32"/>
        <v>1</v>
      </c>
    </row>
    <row r="30" spans="1:24" x14ac:dyDescent="0.3">
      <c r="A30" s="15">
        <v>26</v>
      </c>
      <c r="B30" s="18" t="s">
        <v>49</v>
      </c>
      <c r="C30" s="17" t="s">
        <v>23</v>
      </c>
      <c r="D30" s="6">
        <v>11.12</v>
      </c>
      <c r="E30" s="4">
        <v>11.12</v>
      </c>
      <c r="G30" s="25">
        <v>63</v>
      </c>
      <c r="H30" s="26" t="s">
        <v>83</v>
      </c>
      <c r="I30" s="27" t="s">
        <v>10</v>
      </c>
      <c r="J30" s="4" t="s">
        <v>77</v>
      </c>
      <c r="K30" s="4" t="str">
        <f t="shared" si="26"/>
        <v>HEALTHY</v>
      </c>
      <c r="L30" s="4" t="s">
        <v>77</v>
      </c>
      <c r="M30" s="4" t="s">
        <v>77</v>
      </c>
      <c r="N30" s="4" t="s">
        <v>77</v>
      </c>
      <c r="O30" s="4" t="s">
        <v>77</v>
      </c>
      <c r="P30" s="4" t="s">
        <v>77</v>
      </c>
      <c r="Q30" s="4" t="s">
        <v>77</v>
      </c>
      <c r="S30">
        <f t="shared" si="27"/>
        <v>1</v>
      </c>
      <c r="T30">
        <f t="shared" si="28"/>
        <v>1</v>
      </c>
      <c r="U30">
        <f t="shared" si="29"/>
        <v>1</v>
      </c>
      <c r="V30">
        <f t="shared" si="30"/>
        <v>1</v>
      </c>
      <c r="W30">
        <f t="shared" si="31"/>
        <v>1</v>
      </c>
      <c r="X30">
        <f t="shared" si="32"/>
        <v>1</v>
      </c>
    </row>
    <row r="31" spans="1:24" x14ac:dyDescent="0.3">
      <c r="A31" s="15">
        <v>27</v>
      </c>
      <c r="B31" s="18" t="s">
        <v>50</v>
      </c>
      <c r="C31" s="17" t="s">
        <v>23</v>
      </c>
      <c r="D31" s="4">
        <v>46.73</v>
      </c>
      <c r="E31" s="4">
        <v>46.73</v>
      </c>
      <c r="G31" s="25">
        <v>64</v>
      </c>
      <c r="H31" s="26" t="s">
        <v>119</v>
      </c>
      <c r="I31" s="27" t="s">
        <v>120</v>
      </c>
      <c r="J31" s="48">
        <f>J11/J18</f>
        <v>5.6679700000000004</v>
      </c>
      <c r="K31" s="8">
        <f>ROUND(J31*1.05,0)</f>
        <v>6</v>
      </c>
      <c r="L31" s="48">
        <f>IF(L11&gt;0,L11/L18,0)</f>
        <v>5.9624100000000002</v>
      </c>
      <c r="M31" s="48">
        <f t="shared" ref="M31:Q31" si="33">IF(M11&gt;0,M11/M18,0)</f>
        <v>5.6810298387096774</v>
      </c>
      <c r="N31" s="48">
        <f t="shared" si="33"/>
        <v>5.4655425000000006</v>
      </c>
      <c r="O31" s="48">
        <f t="shared" si="33"/>
        <v>6.3546860759493669</v>
      </c>
      <c r="P31" s="48">
        <f t="shared" si="33"/>
        <v>7.7078163461538463</v>
      </c>
      <c r="Q31" s="48">
        <f t="shared" si="33"/>
        <v>0</v>
      </c>
      <c r="S31">
        <f t="shared" ref="S31:X31" si="34">IF(L31&lt;0.95*$K31,1,IF(L31&lt;=1*$K31,0.5,IF(L31&gt;1*$K31,0)))</f>
        <v>0.5</v>
      </c>
      <c r="T31">
        <f t="shared" si="34"/>
        <v>1</v>
      </c>
      <c r="U31">
        <f t="shared" si="34"/>
        <v>1</v>
      </c>
      <c r="V31">
        <f t="shared" si="34"/>
        <v>0</v>
      </c>
      <c r="W31">
        <f t="shared" si="34"/>
        <v>0</v>
      </c>
      <c r="X31">
        <f t="shared" si="34"/>
        <v>1</v>
      </c>
    </row>
    <row r="32" spans="1:24" x14ac:dyDescent="0.3">
      <c r="A32" s="15">
        <v>28</v>
      </c>
      <c r="B32" s="18" t="s">
        <v>51</v>
      </c>
      <c r="C32" s="17" t="s">
        <v>23</v>
      </c>
      <c r="D32" s="4">
        <v>31.15</v>
      </c>
      <c r="E32" s="4">
        <v>31.15</v>
      </c>
      <c r="G32" s="25">
        <v>65</v>
      </c>
      <c r="H32" s="26" t="s">
        <v>130</v>
      </c>
      <c r="I32" s="27" t="s">
        <v>10</v>
      </c>
      <c r="J32" s="8">
        <f>J19/J18</f>
        <v>2</v>
      </c>
      <c r="K32" s="4">
        <f>ROUND(J32*1.05,0)</f>
        <v>2</v>
      </c>
      <c r="L32" s="50">
        <f>IF(L18&gt;0,L19/L18,0)</f>
        <v>2.9545454545454546</v>
      </c>
      <c r="M32" s="50">
        <f t="shared" ref="M32:Q32" si="35">IF(M18&gt;0,M19/M18,0)</f>
        <v>2.620967741935484</v>
      </c>
      <c r="N32" s="50">
        <f t="shared" si="35"/>
        <v>2.7083333333333335</v>
      </c>
      <c r="O32" s="50">
        <f t="shared" si="35"/>
        <v>2.7426160337552745</v>
      </c>
      <c r="P32" s="50">
        <f t="shared" si="35"/>
        <v>3.125</v>
      </c>
      <c r="Q32" s="49">
        <f t="shared" si="35"/>
        <v>0</v>
      </c>
      <c r="S32">
        <f>IF(L32&lt;0.8*$K32,0,IF(L32&lt;=0.9*$K32,0.5,IF(L32&gt;0.9*$K32,1)))</f>
        <v>1</v>
      </c>
      <c r="T32">
        <f t="shared" ref="T32:X32" si="36">IF(M32&lt;0.8*$K32,0,IF(M32&lt;=0.9*$K32,0.5,IF(M32&gt;0.9*$K32,1)))</f>
        <v>1</v>
      </c>
      <c r="U32">
        <f t="shared" si="36"/>
        <v>1</v>
      </c>
      <c r="V32">
        <f t="shared" si="36"/>
        <v>1</v>
      </c>
      <c r="W32">
        <f t="shared" si="36"/>
        <v>1</v>
      </c>
      <c r="X32">
        <f t="shared" si="36"/>
        <v>0</v>
      </c>
    </row>
    <row r="33" spans="1:5" x14ac:dyDescent="0.3">
      <c r="A33" s="15">
        <v>29</v>
      </c>
      <c r="B33" s="18" t="s">
        <v>52</v>
      </c>
      <c r="C33" s="17" t="s">
        <v>25</v>
      </c>
      <c r="D33" s="4">
        <v>6300</v>
      </c>
      <c r="E33" s="4">
        <v>5800</v>
      </c>
    </row>
    <row r="34" spans="1:5" x14ac:dyDescent="0.3">
      <c r="A34" s="15">
        <v>30</v>
      </c>
      <c r="B34" s="18" t="s">
        <v>54</v>
      </c>
      <c r="C34" s="17" t="s">
        <v>23</v>
      </c>
      <c r="D34" s="4">
        <v>3.4</v>
      </c>
      <c r="E34" s="4">
        <v>3.5</v>
      </c>
    </row>
    <row r="35" spans="1:5" x14ac:dyDescent="0.3">
      <c r="A35" s="15">
        <v>31</v>
      </c>
      <c r="B35" s="18" t="s">
        <v>53</v>
      </c>
      <c r="C35" s="17" t="s">
        <v>23</v>
      </c>
      <c r="D35" s="4">
        <v>3.4</v>
      </c>
      <c r="E35" s="4">
        <v>3.5</v>
      </c>
    </row>
    <row r="36" spans="1:5" x14ac:dyDescent="0.3">
      <c r="A36" s="9"/>
      <c r="B36" s="10"/>
      <c r="C36" s="10"/>
      <c r="D36" s="10"/>
      <c r="E36" s="10"/>
    </row>
    <row r="37" spans="1:5" x14ac:dyDescent="0.3">
      <c r="A37" s="9"/>
      <c r="B37" s="7" t="s">
        <v>37</v>
      </c>
      <c r="C37" s="10"/>
      <c r="D37" s="10"/>
      <c r="E37" s="10"/>
    </row>
    <row r="38" spans="1:5" x14ac:dyDescent="0.3">
      <c r="A38" s="21">
        <v>32</v>
      </c>
      <c r="B38" s="22" t="s">
        <v>38</v>
      </c>
      <c r="C38" s="23" t="s">
        <v>10</v>
      </c>
      <c r="D38" s="4" t="s">
        <v>39</v>
      </c>
      <c r="E38" s="10"/>
    </row>
    <row r="39" spans="1:5" x14ac:dyDescent="0.3">
      <c r="A39" s="21">
        <v>33</v>
      </c>
      <c r="B39" s="22" t="s">
        <v>40</v>
      </c>
      <c r="C39" s="23" t="s">
        <v>10</v>
      </c>
      <c r="D39" s="4" t="s">
        <v>39</v>
      </c>
      <c r="E39" s="10"/>
    </row>
    <row r="40" spans="1:5" x14ac:dyDescent="0.3">
      <c r="A40" s="21">
        <v>34</v>
      </c>
      <c r="B40" s="22" t="s">
        <v>41</v>
      </c>
      <c r="C40" s="23" t="s">
        <v>10</v>
      </c>
      <c r="D40" s="4" t="s">
        <v>39</v>
      </c>
      <c r="E40" s="10"/>
    </row>
    <row r="41" spans="1:5" x14ac:dyDescent="0.3">
      <c r="A41" s="21">
        <v>35</v>
      </c>
      <c r="B41" s="22" t="s">
        <v>42</v>
      </c>
      <c r="C41" s="23" t="s">
        <v>10</v>
      </c>
      <c r="D41" s="4" t="s">
        <v>39</v>
      </c>
      <c r="E41" s="10"/>
    </row>
    <row r="42" spans="1:5" x14ac:dyDescent="0.3">
      <c r="A42" s="21">
        <v>36</v>
      </c>
      <c r="B42" s="22" t="s">
        <v>43</v>
      </c>
      <c r="C42" s="23" t="s">
        <v>10</v>
      </c>
      <c r="D42" s="4" t="s">
        <v>39</v>
      </c>
      <c r="E42" s="10"/>
    </row>
    <row r="43" spans="1:5" x14ac:dyDescent="0.3">
      <c r="A43" s="21">
        <v>37</v>
      </c>
      <c r="B43" s="22" t="s">
        <v>44</v>
      </c>
      <c r="C43" s="23" t="s">
        <v>10</v>
      </c>
      <c r="D43" s="4" t="s">
        <v>39</v>
      </c>
      <c r="E43" s="10"/>
    </row>
  </sheetData>
  <mergeCells count="4">
    <mergeCell ref="G12:H12"/>
    <mergeCell ref="G2:H2"/>
    <mergeCell ref="G17:H17"/>
    <mergeCell ref="L1:Q1"/>
  </mergeCells>
  <dataValidations count="2">
    <dataValidation type="list" allowBlank="1" showInputMessage="1" showErrorMessage="1" sqref="D38:D43" xr:uid="{D2407E58-A94A-404D-A316-197FCBAB1C76}">
      <formula1>$AA$2:$AA$4</formula1>
    </dataValidation>
    <dataValidation type="list" allowBlank="1" showInputMessage="1" showErrorMessage="1" sqref="C29:C33" xr:uid="{F9675A7A-1ED2-4045-9269-3F804B8D7480}">
      <formula1>$T$8:$T$80</formula1>
    </dataValidation>
  </dataValidations>
  <pageMargins left="0.7" right="0.7" top="0.75" bottom="0.75" header="0.3" footer="0.3"/>
  <ignoredErrors>
    <ignoredError sqref="K25:L25 K26 S25:X25 S6:X6 K19 S19 T19:X19 S23:X23 K31:K32 K11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94393-2AEB-44AD-9FC8-9FBA8B500D94}">
  <dimension ref="B11:AT53"/>
  <sheetViews>
    <sheetView showGridLines="0" zoomScale="85" zoomScaleNormal="85" workbookViewId="0">
      <selection activeCell="M70" sqref="M70"/>
    </sheetView>
  </sheetViews>
  <sheetFormatPr defaultColWidth="8.77734375" defaultRowHeight="15.05" x14ac:dyDescent="0.3"/>
  <cols>
    <col min="1" max="29" width="8.77734375" style="66"/>
    <col min="30" max="30" width="12.21875" style="66" customWidth="1"/>
    <col min="31" max="16384" width="8.77734375" style="66"/>
  </cols>
  <sheetData>
    <row r="11" spans="2:38" x14ac:dyDescent="0.3">
      <c r="V11" s="66" t="s">
        <v>164</v>
      </c>
    </row>
    <row r="12" spans="2:38" x14ac:dyDescent="0.3">
      <c r="D12" s="66" t="s">
        <v>165</v>
      </c>
    </row>
    <row r="15" spans="2:38" x14ac:dyDescent="0.3">
      <c r="B15" s="66" t="s">
        <v>166</v>
      </c>
      <c r="E15" s="66" t="s">
        <v>165</v>
      </c>
      <c r="Z15" s="66" t="s">
        <v>165</v>
      </c>
      <c r="AA15" s="67" t="s">
        <v>166</v>
      </c>
      <c r="AC15" s="66" t="s">
        <v>166</v>
      </c>
      <c r="AI15" s="66" t="s">
        <v>165</v>
      </c>
      <c r="AL15" s="66" t="s">
        <v>166</v>
      </c>
    </row>
    <row r="17" spans="5:46" x14ac:dyDescent="0.3">
      <c r="P17" s="66" t="s">
        <v>167</v>
      </c>
      <c r="U17" s="66" t="s">
        <v>166</v>
      </c>
      <c r="AP17" s="66" t="s">
        <v>167</v>
      </c>
      <c r="AT17" s="66" t="s">
        <v>166</v>
      </c>
    </row>
    <row r="22" spans="5:46" x14ac:dyDescent="0.3">
      <c r="E22" s="66" t="s">
        <v>165</v>
      </c>
      <c r="G22" s="67" t="s">
        <v>166</v>
      </c>
    </row>
    <row r="23" spans="5:46" x14ac:dyDescent="0.3">
      <c r="AG23" s="66" t="s">
        <v>167</v>
      </c>
    </row>
    <row r="24" spans="5:46" x14ac:dyDescent="0.3">
      <c r="AJ24" s="67" t="s">
        <v>166</v>
      </c>
    </row>
    <row r="25" spans="5:46" x14ac:dyDescent="0.3">
      <c r="Q25" s="67" t="s">
        <v>167</v>
      </c>
    </row>
    <row r="26" spans="5:46" x14ac:dyDescent="0.3">
      <c r="N26" s="66" t="s">
        <v>166</v>
      </c>
    </row>
    <row r="29" spans="5:46" x14ac:dyDescent="0.3">
      <c r="G29" s="66" t="s">
        <v>165</v>
      </c>
      <c r="I29" s="67" t="s">
        <v>166</v>
      </c>
    </row>
    <row r="34" spans="4:22" x14ac:dyDescent="0.3">
      <c r="D34" s="66" t="s">
        <v>168</v>
      </c>
    </row>
    <row r="35" spans="4:22" x14ac:dyDescent="0.3">
      <c r="Q35" s="66" t="s">
        <v>167</v>
      </c>
      <c r="T35" s="66" t="s">
        <v>166</v>
      </c>
    </row>
    <row r="44" spans="4:22" x14ac:dyDescent="0.3">
      <c r="V44" s="66" t="s">
        <v>166</v>
      </c>
    </row>
    <row r="45" spans="4:22" x14ac:dyDescent="0.3">
      <c r="S45" s="66" t="s">
        <v>167</v>
      </c>
    </row>
    <row r="51" spans="17:26" x14ac:dyDescent="0.3">
      <c r="Z51" s="66" t="s">
        <v>165</v>
      </c>
    </row>
    <row r="52" spans="17:26" x14ac:dyDescent="0.3">
      <c r="S52" s="66" t="s">
        <v>167</v>
      </c>
    </row>
    <row r="53" spans="17:26" x14ac:dyDescent="0.3">
      <c r="Q53" s="66" t="s">
        <v>166</v>
      </c>
      <c r="X53" s="66" t="s">
        <v>166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E54B4-DE17-4C64-919B-BF6349FD691B}">
  <dimension ref="A1:Z90"/>
  <sheetViews>
    <sheetView tabSelected="1" topLeftCell="B67" zoomScaleNormal="100" workbookViewId="0">
      <selection activeCell="C86" sqref="C86"/>
    </sheetView>
  </sheetViews>
  <sheetFormatPr defaultRowHeight="15.05" x14ac:dyDescent="0.3"/>
  <cols>
    <col min="2" max="2" width="47.109375" bestFit="1" customWidth="1"/>
    <col min="3" max="3" width="18.77734375" customWidth="1"/>
    <col min="4" max="4" width="15.21875" customWidth="1"/>
    <col min="5" max="5" width="22.109375" bestFit="1" customWidth="1"/>
    <col min="6" max="26" width="13.21875" customWidth="1"/>
  </cols>
  <sheetData>
    <row r="1" spans="1:5" x14ac:dyDescent="0.3">
      <c r="A1" s="31">
        <v>1</v>
      </c>
      <c r="B1" s="32" t="s">
        <v>92</v>
      </c>
      <c r="C1" s="33"/>
      <c r="D1" s="33"/>
      <c r="E1" s="33"/>
    </row>
    <row r="2" spans="1:5" x14ac:dyDescent="0.3">
      <c r="A2" s="33"/>
      <c r="B2" s="42" t="s">
        <v>5</v>
      </c>
      <c r="C2" s="43" t="s">
        <v>6</v>
      </c>
      <c r="D2" s="43" t="b">
        <f>'INPUT SHEET'!E3=2</f>
        <v>1</v>
      </c>
      <c r="E2" s="34"/>
    </row>
    <row r="3" spans="1:5" x14ac:dyDescent="0.3">
      <c r="A3" s="33"/>
      <c r="B3" s="42" t="s">
        <v>7</v>
      </c>
      <c r="C3" s="43" t="s">
        <v>6</v>
      </c>
      <c r="D3" s="43" t="b">
        <f>'INPUT SHEET'!E4=2</f>
        <v>1</v>
      </c>
      <c r="E3" s="34"/>
    </row>
    <row r="4" spans="1:5" x14ac:dyDescent="0.3">
      <c r="A4" s="33"/>
      <c r="B4" s="42" t="s">
        <v>8</v>
      </c>
      <c r="C4" s="43" t="s">
        <v>6</v>
      </c>
      <c r="D4" s="43" t="b">
        <f>'INPUT SHEET'!E5=2</f>
        <v>1</v>
      </c>
      <c r="E4" s="34"/>
    </row>
    <row r="5" spans="1:5" x14ac:dyDescent="0.3">
      <c r="A5" s="33"/>
      <c r="B5" s="42" t="s">
        <v>9</v>
      </c>
      <c r="C5" s="43" t="s">
        <v>6</v>
      </c>
      <c r="D5" s="43" t="b">
        <f>'INPUT SHEET'!E6=2</f>
        <v>1</v>
      </c>
      <c r="E5" s="34"/>
    </row>
    <row r="6" spans="1:5" x14ac:dyDescent="0.3">
      <c r="A6" s="33"/>
      <c r="B6" s="42" t="s">
        <v>45</v>
      </c>
      <c r="C6" s="43" t="s">
        <v>6</v>
      </c>
      <c r="D6" s="43" t="b">
        <f>'INPUT SHEET'!E7=1</f>
        <v>1</v>
      </c>
      <c r="E6" s="34"/>
    </row>
    <row r="7" spans="1:5" x14ac:dyDescent="0.3">
      <c r="A7" s="33"/>
      <c r="B7" s="42" t="s">
        <v>93</v>
      </c>
      <c r="C7" s="43" t="s">
        <v>10</v>
      </c>
      <c r="D7" s="43" t="b">
        <f>IF(COUNTIF(D19:D24,"Not Available")&lt;2,TRUE,FALSE)</f>
        <v>1</v>
      </c>
      <c r="E7" s="34"/>
    </row>
    <row r="8" spans="1:5" x14ac:dyDescent="0.3">
      <c r="A8" s="33"/>
      <c r="B8" s="42" t="s">
        <v>97</v>
      </c>
      <c r="C8" s="43" t="s">
        <v>12</v>
      </c>
      <c r="D8" s="43" t="b">
        <f>'INPUT SHEET'!E8&gt;60%</f>
        <v>1</v>
      </c>
      <c r="E8" s="34"/>
    </row>
    <row r="9" spans="1:5" x14ac:dyDescent="0.3">
      <c r="A9" s="33"/>
      <c r="B9" s="42" t="s">
        <v>96</v>
      </c>
      <c r="C9" s="43" t="s">
        <v>14</v>
      </c>
      <c r="D9" s="43" t="b">
        <f>'INPUT SHEET'!E9&gt;60%</f>
        <v>1</v>
      </c>
      <c r="E9" s="34"/>
    </row>
    <row r="10" spans="1:5" x14ac:dyDescent="0.3">
      <c r="A10" s="33"/>
      <c r="B10" s="42" t="s">
        <v>98</v>
      </c>
      <c r="C10" s="43" t="s">
        <v>14</v>
      </c>
      <c r="D10" s="43" t="b">
        <f>'INPUT SHEET'!E10&gt;60%</f>
        <v>1</v>
      </c>
      <c r="E10" s="34"/>
    </row>
    <row r="11" spans="1:5" x14ac:dyDescent="0.3">
      <c r="A11" s="33"/>
      <c r="B11" s="42" t="s">
        <v>99</v>
      </c>
      <c r="C11" s="43" t="s">
        <v>14</v>
      </c>
      <c r="D11" s="43" t="b">
        <f>'INPUT SHEET'!E11&gt;60%</f>
        <v>1</v>
      </c>
      <c r="E11" s="34"/>
    </row>
    <row r="12" spans="1:5" ht="14.6" customHeight="1" x14ac:dyDescent="0.3">
      <c r="A12" s="33"/>
      <c r="B12" s="38" t="s">
        <v>100</v>
      </c>
      <c r="C12" s="43" t="s">
        <v>14</v>
      </c>
      <c r="D12" s="43" t="b">
        <f>'INPUT SHEET'!E12&gt;60%</f>
        <v>1</v>
      </c>
      <c r="E12" s="34"/>
    </row>
    <row r="13" spans="1:5" ht="15.65" thickBot="1" x14ac:dyDescent="0.35">
      <c r="A13" s="33"/>
      <c r="B13" s="33"/>
      <c r="C13" s="33"/>
      <c r="D13" s="33"/>
      <c r="E13" s="33"/>
    </row>
    <row r="14" spans="1:5" ht="15.65" thickBot="1" x14ac:dyDescent="0.35">
      <c r="A14" s="33"/>
      <c r="B14" s="35" t="s">
        <v>94</v>
      </c>
      <c r="C14" s="90" t="str">
        <f>IF(COUNTIF(D2:D12,"FALSE")&gt;0,"STOP","PROCEED FOR MILL SCHEDULING")</f>
        <v>PROCEED FOR MILL SCHEDULING</v>
      </c>
      <c r="D14" s="91"/>
      <c r="E14" s="33"/>
    </row>
    <row r="15" spans="1:5" x14ac:dyDescent="0.3">
      <c r="A15" s="33"/>
      <c r="B15" s="33"/>
      <c r="C15" s="33"/>
      <c r="D15" s="33"/>
      <c r="E15" s="33"/>
    </row>
    <row r="16" spans="1:5" x14ac:dyDescent="0.3">
      <c r="A16" s="31">
        <v>2</v>
      </c>
      <c r="B16" s="32" t="s">
        <v>37</v>
      </c>
      <c r="C16" s="33"/>
      <c r="D16" s="33"/>
      <c r="E16" s="33"/>
    </row>
    <row r="17" spans="1:26" x14ac:dyDescent="0.3">
      <c r="A17" s="31"/>
      <c r="B17" s="32"/>
      <c r="C17" s="33"/>
      <c r="D17" s="33"/>
      <c r="E17" s="33"/>
    </row>
    <row r="18" spans="1:26" ht="14.6" customHeight="1" x14ac:dyDescent="0.3">
      <c r="A18" s="33"/>
      <c r="B18" s="37" t="s">
        <v>1</v>
      </c>
      <c r="C18" s="41" t="s">
        <v>2</v>
      </c>
      <c r="D18" s="41" t="s">
        <v>95</v>
      </c>
      <c r="E18" s="41" t="s">
        <v>108</v>
      </c>
      <c r="F18" s="41" t="s">
        <v>163</v>
      </c>
    </row>
    <row r="19" spans="1:26" x14ac:dyDescent="0.3">
      <c r="A19" s="33"/>
      <c r="B19" s="42" t="s">
        <v>38</v>
      </c>
      <c r="C19" s="43" t="s">
        <v>10</v>
      </c>
      <c r="D19" s="43" t="str">
        <f>'INPUT SHEET'!D38</f>
        <v>AVAILABLE</v>
      </c>
      <c r="E19" s="64" t="str">
        <f>IF(AND(D19="AVAILABLE",'INPUT SHEET'!L$3&gt;5),"RUNNING","STOP")</f>
        <v>RUNNING</v>
      </c>
      <c r="F19" s="8">
        <f>IF(E20="RUNNING",1,0)</f>
        <v>1</v>
      </c>
    </row>
    <row r="20" spans="1:26" x14ac:dyDescent="0.3">
      <c r="A20" s="33"/>
      <c r="B20" s="42" t="s">
        <v>40</v>
      </c>
      <c r="C20" s="43" t="s">
        <v>10</v>
      </c>
      <c r="D20" s="43" t="str">
        <f>'INPUT SHEET'!D39</f>
        <v>AVAILABLE</v>
      </c>
      <c r="E20" s="44" t="str">
        <f>IF(AND(D20="AVAILABLE",'INPUT SHEET'!M$3&gt;5),"RUNNING","STOP")</f>
        <v>RUNNING</v>
      </c>
      <c r="F20" s="8">
        <f>IF(AND(E19="Running",E21="Running"),1,IF(OR(E19="Running",E21="Running"),0.5,0))</f>
        <v>1</v>
      </c>
    </row>
    <row r="21" spans="1:26" x14ac:dyDescent="0.3">
      <c r="A21" s="33"/>
      <c r="B21" s="42" t="s">
        <v>41</v>
      </c>
      <c r="C21" s="43" t="s">
        <v>10</v>
      </c>
      <c r="D21" s="43" t="str">
        <f>'INPUT SHEET'!D40</f>
        <v>AVAILABLE</v>
      </c>
      <c r="E21" s="44" t="str">
        <f>IF(AND(D21="AVAILABLE",'INPUT SHEET'!N$3&gt;5),"RUNNING","STOP")</f>
        <v>RUNNING</v>
      </c>
      <c r="F21" s="8">
        <f>IF(AND(E20="Running",E22="Running"),1,IF(OR(E20="Running",E22="Running"),0.5,0))</f>
        <v>1</v>
      </c>
    </row>
    <row r="22" spans="1:26" x14ac:dyDescent="0.3">
      <c r="A22" s="33"/>
      <c r="B22" s="42" t="s">
        <v>42</v>
      </c>
      <c r="C22" s="43" t="s">
        <v>10</v>
      </c>
      <c r="D22" s="43" t="str">
        <f>'INPUT SHEET'!D41</f>
        <v>AVAILABLE</v>
      </c>
      <c r="E22" s="44" t="str">
        <f>IF(AND(D22="AVAILABLE",'INPUT SHEET'!O$3&gt;5),"RUNNING","STOP")</f>
        <v>RUNNING</v>
      </c>
      <c r="F22" s="8">
        <f>IF(AND(E23="Running",E21="Running"),1,IF(OR(E23="Running",E21="Running"),0.5,0))</f>
        <v>1</v>
      </c>
    </row>
    <row r="23" spans="1:26" x14ac:dyDescent="0.3">
      <c r="A23" s="33"/>
      <c r="B23" s="42" t="s">
        <v>43</v>
      </c>
      <c r="C23" s="43" t="s">
        <v>10</v>
      </c>
      <c r="D23" s="43" t="str">
        <f>'INPUT SHEET'!D42</f>
        <v>AVAILABLE</v>
      </c>
      <c r="E23" s="44" t="str">
        <f>IF(AND(D23="AVAILABLE",'INPUT SHEET'!P$3&gt;5),"RUNNING","STOP")</f>
        <v>RUNNING</v>
      </c>
      <c r="F23" s="8">
        <f>IF(AND(E22="Running",E24="Running"),1,IF(OR(E22="Running",E24="Running"),0.5,0))</f>
        <v>0.5</v>
      </c>
    </row>
    <row r="24" spans="1:26" x14ac:dyDescent="0.3">
      <c r="A24" s="33"/>
      <c r="B24" s="42" t="s">
        <v>44</v>
      </c>
      <c r="C24" s="43" t="s">
        <v>10</v>
      </c>
      <c r="D24" s="43" t="str">
        <f>'INPUT SHEET'!D43</f>
        <v>AVAILABLE</v>
      </c>
      <c r="E24" s="44" t="str">
        <f>IF(AND(D24="AVAILABLE",'INPUT SHEET'!Q$3&gt;5),"RUNNING","STOP")</f>
        <v>STOP</v>
      </c>
      <c r="F24" s="8">
        <f>IF(E23="RUNNING",1,0)</f>
        <v>1</v>
      </c>
    </row>
    <row r="26" spans="1:26" x14ac:dyDescent="0.3">
      <c r="A26" s="31">
        <v>3</v>
      </c>
      <c r="B26" s="32" t="s">
        <v>104</v>
      </c>
    </row>
    <row r="27" spans="1:26" x14ac:dyDescent="0.3">
      <c r="B27" s="93" t="s">
        <v>1</v>
      </c>
      <c r="C27" s="92" t="s">
        <v>110</v>
      </c>
      <c r="D27" s="92"/>
      <c r="E27" s="92"/>
      <c r="F27" s="92"/>
      <c r="G27" s="92" t="s">
        <v>111</v>
      </c>
      <c r="H27" s="92"/>
      <c r="I27" s="92"/>
      <c r="J27" s="92"/>
      <c r="K27" s="92" t="s">
        <v>112</v>
      </c>
      <c r="L27" s="92"/>
      <c r="M27" s="92"/>
      <c r="N27" s="92"/>
      <c r="O27" s="92" t="s">
        <v>113</v>
      </c>
      <c r="P27" s="92"/>
      <c r="Q27" s="92"/>
      <c r="R27" s="92"/>
      <c r="S27" s="92" t="s">
        <v>114</v>
      </c>
      <c r="T27" s="92"/>
      <c r="U27" s="92"/>
      <c r="V27" s="92"/>
      <c r="W27" s="92" t="s">
        <v>115</v>
      </c>
      <c r="X27" s="92"/>
      <c r="Y27" s="92"/>
      <c r="Z27" s="92"/>
    </row>
    <row r="28" spans="1:26" ht="33.85" x14ac:dyDescent="0.3">
      <c r="B28" s="93"/>
      <c r="C28" s="36" t="s">
        <v>105</v>
      </c>
      <c r="D28" s="36" t="s">
        <v>106</v>
      </c>
      <c r="E28" s="36" t="s">
        <v>116</v>
      </c>
      <c r="F28" s="36" t="s">
        <v>109</v>
      </c>
      <c r="G28" s="36" t="s">
        <v>105</v>
      </c>
      <c r="H28" s="36" t="s">
        <v>106</v>
      </c>
      <c r="I28" s="36" t="s">
        <v>107</v>
      </c>
      <c r="J28" s="36" t="s">
        <v>109</v>
      </c>
      <c r="K28" s="36" t="s">
        <v>105</v>
      </c>
      <c r="L28" s="36" t="s">
        <v>106</v>
      </c>
      <c r="M28" s="36" t="s">
        <v>107</v>
      </c>
      <c r="N28" s="36" t="s">
        <v>109</v>
      </c>
      <c r="O28" s="36" t="s">
        <v>105</v>
      </c>
      <c r="P28" s="36" t="s">
        <v>106</v>
      </c>
      <c r="Q28" s="36" t="s">
        <v>107</v>
      </c>
      <c r="R28" s="36" t="s">
        <v>109</v>
      </c>
      <c r="S28" s="36" t="s">
        <v>105</v>
      </c>
      <c r="T28" s="36" t="s">
        <v>106</v>
      </c>
      <c r="U28" s="36" t="s">
        <v>107</v>
      </c>
      <c r="V28" s="36" t="s">
        <v>109</v>
      </c>
      <c r="W28" s="36" t="s">
        <v>105</v>
      </c>
      <c r="X28" s="36" t="s">
        <v>106</v>
      </c>
      <c r="Y28" s="36" t="s">
        <v>107</v>
      </c>
      <c r="Z28" s="36" t="s">
        <v>109</v>
      </c>
    </row>
    <row r="29" spans="1:26" x14ac:dyDescent="0.3">
      <c r="B29" s="37" t="s">
        <v>84</v>
      </c>
      <c r="C29" s="10"/>
      <c r="D29" s="10"/>
      <c r="E29" s="8">
        <v>0.3</v>
      </c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x14ac:dyDescent="0.3">
      <c r="B30" s="69" t="s">
        <v>61</v>
      </c>
      <c r="C30" s="8">
        <f>'INPUT SHEET'!S5</f>
        <v>1</v>
      </c>
      <c r="D30" s="51">
        <v>0.1</v>
      </c>
      <c r="E30" s="8">
        <f>D30*$E$29</f>
        <v>0.03</v>
      </c>
      <c r="F30" s="8">
        <f>E30*C30</f>
        <v>0.03</v>
      </c>
      <c r="G30" s="8">
        <f>'INPUT SHEET'!T5</f>
        <v>1</v>
      </c>
      <c r="H30" s="51">
        <v>0.1</v>
      </c>
      <c r="I30" s="8">
        <f>H30*$E$29</f>
        <v>0.03</v>
      </c>
      <c r="J30" s="8">
        <f>I30*G30</f>
        <v>0.03</v>
      </c>
      <c r="K30" s="8">
        <f>'INPUT SHEET'!U5</f>
        <v>1</v>
      </c>
      <c r="L30" s="51">
        <v>0.1</v>
      </c>
      <c r="M30" s="8">
        <f>L30*$E$29</f>
        <v>0.03</v>
      </c>
      <c r="N30" s="8">
        <f>M30*K30</f>
        <v>0.03</v>
      </c>
      <c r="O30" s="8">
        <f>'INPUT SHEET'!V5</f>
        <v>1</v>
      </c>
      <c r="P30" s="51">
        <v>0.1</v>
      </c>
      <c r="Q30" s="8">
        <f>P30*$E$29</f>
        <v>0.03</v>
      </c>
      <c r="R30" s="8">
        <f>Q30*O30</f>
        <v>0.03</v>
      </c>
      <c r="S30" s="8">
        <f>'INPUT SHEET'!W5</f>
        <v>1</v>
      </c>
      <c r="T30" s="51">
        <v>0.1</v>
      </c>
      <c r="U30" s="8">
        <f>T30*$E$29</f>
        <v>0.03</v>
      </c>
      <c r="V30" s="8">
        <f>U30*S30</f>
        <v>0.03</v>
      </c>
      <c r="W30" s="8">
        <f>'INPUT SHEET'!X5</f>
        <v>1</v>
      </c>
      <c r="X30" s="51">
        <v>0.1</v>
      </c>
      <c r="Y30" s="8">
        <f>X30*$E$29</f>
        <v>0.03</v>
      </c>
      <c r="Z30" s="8">
        <f>Y30*W30</f>
        <v>0.03</v>
      </c>
    </row>
    <row r="31" spans="1:26" x14ac:dyDescent="0.3">
      <c r="B31" s="69" t="s">
        <v>63</v>
      </c>
      <c r="C31" s="8">
        <f>'INPUT SHEET'!S6</f>
        <v>0.5</v>
      </c>
      <c r="D31" s="51">
        <v>0.1</v>
      </c>
      <c r="E31" s="8">
        <f t="shared" ref="E31:E36" si="0">D31*$E$29</f>
        <v>0.03</v>
      </c>
      <c r="F31" s="8">
        <f t="shared" ref="F31:F36" si="1">E31*C31</f>
        <v>1.4999999999999999E-2</v>
      </c>
      <c r="G31" s="8">
        <f>'INPUT SHEET'!T6</f>
        <v>0.5</v>
      </c>
      <c r="H31" s="51">
        <v>0.1</v>
      </c>
      <c r="I31" s="8">
        <f t="shared" ref="I31:I36" si="2">H31*$E$29</f>
        <v>0.03</v>
      </c>
      <c r="J31" s="8">
        <f t="shared" ref="J31:J36" si="3">I31*G31</f>
        <v>1.4999999999999999E-2</v>
      </c>
      <c r="K31" s="8">
        <f>'INPUT SHEET'!U6</f>
        <v>0.5</v>
      </c>
      <c r="L31" s="51">
        <v>0.1</v>
      </c>
      <c r="M31" s="8">
        <f t="shared" ref="M31:M36" si="4">L31*$E$29</f>
        <v>0.03</v>
      </c>
      <c r="N31" s="8">
        <f t="shared" ref="N31:N36" si="5">M31*K31</f>
        <v>1.4999999999999999E-2</v>
      </c>
      <c r="O31" s="8">
        <f>'INPUT SHEET'!V6</f>
        <v>0.5</v>
      </c>
      <c r="P31" s="51">
        <v>0.1</v>
      </c>
      <c r="Q31" s="8">
        <f t="shared" ref="Q31:Q36" si="6">P31*$E$29</f>
        <v>0.03</v>
      </c>
      <c r="R31" s="8">
        <f t="shared" ref="R31:R36" si="7">Q31*O31</f>
        <v>1.4999999999999999E-2</v>
      </c>
      <c r="S31" s="8">
        <f>'INPUT SHEET'!W6</f>
        <v>0.5</v>
      </c>
      <c r="T31" s="51">
        <v>0.1</v>
      </c>
      <c r="U31" s="8">
        <f t="shared" ref="U31:U36" si="8">T31*$E$29</f>
        <v>0.03</v>
      </c>
      <c r="V31" s="8">
        <f t="shared" ref="V31:V36" si="9">U31*S31</f>
        <v>1.4999999999999999E-2</v>
      </c>
      <c r="W31" s="8">
        <f>'INPUT SHEET'!X6</f>
        <v>0.5</v>
      </c>
      <c r="X31" s="51">
        <v>0.1</v>
      </c>
      <c r="Y31" s="8">
        <f t="shared" ref="Y31:Y36" si="10">X31*$E$29</f>
        <v>0.03</v>
      </c>
      <c r="Z31" s="8">
        <f t="shared" ref="Z31:Z36" si="11">Y31*W31</f>
        <v>1.4999999999999999E-2</v>
      </c>
    </row>
    <row r="32" spans="1:26" x14ac:dyDescent="0.3">
      <c r="B32" s="69" t="s">
        <v>64</v>
      </c>
      <c r="C32" s="8">
        <f>'INPUT SHEET'!S7</f>
        <v>1</v>
      </c>
      <c r="D32" s="51">
        <v>0.1</v>
      </c>
      <c r="E32" s="8">
        <f t="shared" si="0"/>
        <v>0.03</v>
      </c>
      <c r="F32" s="8">
        <f t="shared" si="1"/>
        <v>0.03</v>
      </c>
      <c r="G32" s="8">
        <f>'INPUT SHEET'!T7</f>
        <v>1</v>
      </c>
      <c r="H32" s="51">
        <v>0.1</v>
      </c>
      <c r="I32" s="8">
        <f t="shared" si="2"/>
        <v>0.03</v>
      </c>
      <c r="J32" s="8">
        <f t="shared" si="3"/>
        <v>0.03</v>
      </c>
      <c r="K32" s="8">
        <f>'INPUT SHEET'!U7</f>
        <v>1</v>
      </c>
      <c r="L32" s="51">
        <v>0.1</v>
      </c>
      <c r="M32" s="8">
        <f t="shared" si="4"/>
        <v>0.03</v>
      </c>
      <c r="N32" s="8">
        <f t="shared" si="5"/>
        <v>0.03</v>
      </c>
      <c r="O32" s="8">
        <f>'INPUT SHEET'!V7</f>
        <v>1</v>
      </c>
      <c r="P32" s="51">
        <v>0.1</v>
      </c>
      <c r="Q32" s="8">
        <f t="shared" si="6"/>
        <v>0.03</v>
      </c>
      <c r="R32" s="8">
        <f t="shared" si="7"/>
        <v>0.03</v>
      </c>
      <c r="S32" s="8">
        <f>'INPUT SHEET'!W7</f>
        <v>1</v>
      </c>
      <c r="T32" s="51">
        <v>0.1</v>
      </c>
      <c r="U32" s="8">
        <f t="shared" si="8"/>
        <v>0.03</v>
      </c>
      <c r="V32" s="8">
        <f t="shared" si="9"/>
        <v>0.03</v>
      </c>
      <c r="W32" s="8">
        <f>'INPUT SHEET'!X7</f>
        <v>1</v>
      </c>
      <c r="X32" s="51">
        <v>0.1</v>
      </c>
      <c r="Y32" s="8">
        <f t="shared" si="10"/>
        <v>0.03</v>
      </c>
      <c r="Z32" s="8">
        <f t="shared" si="11"/>
        <v>0.03</v>
      </c>
    </row>
    <row r="33" spans="2:26" x14ac:dyDescent="0.3">
      <c r="B33" s="69" t="s">
        <v>65</v>
      </c>
      <c r="C33" s="8">
        <f>'INPUT SHEET'!S8</f>
        <v>1</v>
      </c>
      <c r="D33" s="51">
        <v>0.1</v>
      </c>
      <c r="E33" s="8">
        <f t="shared" si="0"/>
        <v>0.03</v>
      </c>
      <c r="F33" s="8">
        <f t="shared" si="1"/>
        <v>0.03</v>
      </c>
      <c r="G33" s="8">
        <f>'INPUT SHEET'!T8</f>
        <v>1</v>
      </c>
      <c r="H33" s="51">
        <v>0.1</v>
      </c>
      <c r="I33" s="8">
        <f t="shared" si="2"/>
        <v>0.03</v>
      </c>
      <c r="J33" s="8">
        <f t="shared" si="3"/>
        <v>0.03</v>
      </c>
      <c r="K33" s="8">
        <f>'INPUT SHEET'!U8</f>
        <v>1</v>
      </c>
      <c r="L33" s="51">
        <v>0.1</v>
      </c>
      <c r="M33" s="8">
        <f t="shared" si="4"/>
        <v>0.03</v>
      </c>
      <c r="N33" s="8">
        <f t="shared" si="5"/>
        <v>0.03</v>
      </c>
      <c r="O33" s="8">
        <f>'INPUT SHEET'!V8</f>
        <v>1</v>
      </c>
      <c r="P33" s="51">
        <v>0.1</v>
      </c>
      <c r="Q33" s="8">
        <f t="shared" si="6"/>
        <v>0.03</v>
      </c>
      <c r="R33" s="8">
        <f t="shared" si="7"/>
        <v>0.03</v>
      </c>
      <c r="S33" s="8">
        <f>'INPUT SHEET'!W8</f>
        <v>1</v>
      </c>
      <c r="T33" s="51">
        <v>0.1</v>
      </c>
      <c r="U33" s="8">
        <f t="shared" si="8"/>
        <v>0.03</v>
      </c>
      <c r="V33" s="8">
        <f t="shared" si="9"/>
        <v>0.03</v>
      </c>
      <c r="W33" s="8">
        <f>'INPUT SHEET'!X8</f>
        <v>1</v>
      </c>
      <c r="X33" s="51">
        <v>0.1</v>
      </c>
      <c r="Y33" s="8">
        <f t="shared" si="10"/>
        <v>0.03</v>
      </c>
      <c r="Z33" s="8">
        <f t="shared" si="11"/>
        <v>0.03</v>
      </c>
    </row>
    <row r="34" spans="2:26" x14ac:dyDescent="0.3">
      <c r="B34" s="39" t="s">
        <v>66</v>
      </c>
      <c r="C34" s="8">
        <f>'INPUT SHEET'!S9</f>
        <v>1</v>
      </c>
      <c r="D34" s="51">
        <v>0.2</v>
      </c>
      <c r="E34" s="8">
        <f t="shared" si="0"/>
        <v>0.06</v>
      </c>
      <c r="F34" s="8">
        <f t="shared" si="1"/>
        <v>0.06</v>
      </c>
      <c r="G34" s="8">
        <f>'INPUT SHEET'!T9</f>
        <v>1</v>
      </c>
      <c r="H34" s="51">
        <v>0.2</v>
      </c>
      <c r="I34" s="8">
        <f t="shared" si="2"/>
        <v>0.06</v>
      </c>
      <c r="J34" s="8">
        <f t="shared" si="3"/>
        <v>0.06</v>
      </c>
      <c r="K34" s="8">
        <f>'INPUT SHEET'!U9</f>
        <v>0.5</v>
      </c>
      <c r="L34" s="51">
        <v>0.2</v>
      </c>
      <c r="M34" s="8">
        <f t="shared" si="4"/>
        <v>0.06</v>
      </c>
      <c r="N34" s="8">
        <f t="shared" si="5"/>
        <v>0.03</v>
      </c>
      <c r="O34" s="8">
        <f>'INPUT SHEET'!V9</f>
        <v>1</v>
      </c>
      <c r="P34" s="51">
        <v>0.2</v>
      </c>
      <c r="Q34" s="8">
        <f t="shared" si="6"/>
        <v>0.06</v>
      </c>
      <c r="R34" s="8">
        <f t="shared" si="7"/>
        <v>0.06</v>
      </c>
      <c r="S34" s="8">
        <f>'INPUT SHEET'!W9</f>
        <v>1</v>
      </c>
      <c r="T34" s="51">
        <v>0.2</v>
      </c>
      <c r="U34" s="8">
        <f t="shared" si="8"/>
        <v>0.06</v>
      </c>
      <c r="V34" s="8">
        <f t="shared" si="9"/>
        <v>0.06</v>
      </c>
      <c r="W34" s="8">
        <f>'INPUT SHEET'!X9</f>
        <v>1</v>
      </c>
      <c r="X34" s="51">
        <v>0.2</v>
      </c>
      <c r="Y34" s="8">
        <f t="shared" si="10"/>
        <v>0.06</v>
      </c>
      <c r="Z34" s="8">
        <f t="shared" si="11"/>
        <v>0.06</v>
      </c>
    </row>
    <row r="35" spans="2:26" x14ac:dyDescent="0.3">
      <c r="B35" s="39" t="s">
        <v>68</v>
      </c>
      <c r="C35" s="8">
        <f>'INPUT SHEET'!S10</f>
        <v>0</v>
      </c>
      <c r="D35" s="51">
        <v>0.2</v>
      </c>
      <c r="E35" s="8">
        <f t="shared" si="0"/>
        <v>0.06</v>
      </c>
      <c r="F35" s="8">
        <f t="shared" si="1"/>
        <v>0</v>
      </c>
      <c r="G35" s="8">
        <f>'INPUT SHEET'!T10</f>
        <v>0.5</v>
      </c>
      <c r="H35" s="51">
        <v>0.2</v>
      </c>
      <c r="I35" s="8">
        <f t="shared" si="2"/>
        <v>0.06</v>
      </c>
      <c r="J35" s="8">
        <f t="shared" si="3"/>
        <v>0.03</v>
      </c>
      <c r="K35" s="8">
        <f>'INPUT SHEET'!U10</f>
        <v>1</v>
      </c>
      <c r="L35" s="51">
        <v>0.2</v>
      </c>
      <c r="M35" s="8">
        <f t="shared" si="4"/>
        <v>0.06</v>
      </c>
      <c r="N35" s="8">
        <f t="shared" si="5"/>
        <v>0.06</v>
      </c>
      <c r="O35" s="8">
        <f>'INPUT SHEET'!V10</f>
        <v>0.5</v>
      </c>
      <c r="P35" s="51">
        <v>0.2</v>
      </c>
      <c r="Q35" s="8">
        <f t="shared" si="6"/>
        <v>0.06</v>
      </c>
      <c r="R35" s="8">
        <f t="shared" si="7"/>
        <v>0.03</v>
      </c>
      <c r="S35" s="8">
        <f>'INPUT SHEET'!W10</f>
        <v>0.5</v>
      </c>
      <c r="T35" s="51">
        <v>0.2</v>
      </c>
      <c r="U35" s="8">
        <f t="shared" si="8"/>
        <v>0.06</v>
      </c>
      <c r="V35" s="8">
        <f t="shared" si="9"/>
        <v>0.03</v>
      </c>
      <c r="W35" s="8">
        <f>'INPUT SHEET'!X10</f>
        <v>0.5</v>
      </c>
      <c r="X35" s="51">
        <v>0.2</v>
      </c>
      <c r="Y35" s="8">
        <f t="shared" si="10"/>
        <v>0.06</v>
      </c>
      <c r="Z35" s="8">
        <f t="shared" si="11"/>
        <v>0.03</v>
      </c>
    </row>
    <row r="36" spans="2:26" x14ac:dyDescent="0.3">
      <c r="B36" s="39" t="s">
        <v>101</v>
      </c>
      <c r="C36" s="8">
        <f>'INPUT SHEET'!S11</f>
        <v>1</v>
      </c>
      <c r="D36" s="51">
        <v>0.2</v>
      </c>
      <c r="E36" s="8">
        <f t="shared" si="0"/>
        <v>0.06</v>
      </c>
      <c r="F36" s="8">
        <f t="shared" si="1"/>
        <v>0.06</v>
      </c>
      <c r="G36" s="8">
        <f>'INPUT SHEET'!T11</f>
        <v>1</v>
      </c>
      <c r="H36" s="51">
        <v>0.2</v>
      </c>
      <c r="I36" s="8">
        <f t="shared" si="2"/>
        <v>0.06</v>
      </c>
      <c r="J36" s="8">
        <f t="shared" si="3"/>
        <v>0.06</v>
      </c>
      <c r="K36" s="8">
        <f>'INPUT SHEET'!U11</f>
        <v>1</v>
      </c>
      <c r="L36" s="51">
        <v>0.2</v>
      </c>
      <c r="M36" s="8">
        <f t="shared" si="4"/>
        <v>0.06</v>
      </c>
      <c r="N36" s="8">
        <f t="shared" si="5"/>
        <v>0.06</v>
      </c>
      <c r="O36" s="8">
        <f>'INPUT SHEET'!V11</f>
        <v>1</v>
      </c>
      <c r="P36" s="51">
        <v>0.2</v>
      </c>
      <c r="Q36" s="8">
        <f t="shared" si="6"/>
        <v>0.06</v>
      </c>
      <c r="R36" s="8">
        <f t="shared" si="7"/>
        <v>0.06</v>
      </c>
      <c r="S36" s="8">
        <f>'INPUT SHEET'!W11</f>
        <v>0.5</v>
      </c>
      <c r="T36" s="51">
        <v>0.2</v>
      </c>
      <c r="U36" s="8">
        <f t="shared" si="8"/>
        <v>0.06</v>
      </c>
      <c r="V36" s="8">
        <f t="shared" si="9"/>
        <v>0.03</v>
      </c>
      <c r="W36" s="8">
        <f>'INPUT SHEET'!X11</f>
        <v>1</v>
      </c>
      <c r="X36" s="51">
        <v>0.2</v>
      </c>
      <c r="Y36" s="8">
        <f t="shared" si="10"/>
        <v>0.06</v>
      </c>
      <c r="Z36" s="8">
        <f t="shared" si="11"/>
        <v>0.06</v>
      </c>
    </row>
    <row r="37" spans="2:26" x14ac:dyDescent="0.3">
      <c r="B37" s="45" t="s">
        <v>117</v>
      </c>
      <c r="C37" s="10"/>
      <c r="D37" s="10"/>
      <c r="E37" s="10"/>
      <c r="F37" s="52">
        <f>SUM(F30:F36)</f>
        <v>0.22499999999999998</v>
      </c>
      <c r="G37" s="10"/>
      <c r="H37" s="10"/>
      <c r="I37" s="10"/>
      <c r="J37" s="53">
        <f>SUM(J30:J36)</f>
        <v>0.255</v>
      </c>
      <c r="K37" s="10"/>
      <c r="L37" s="10"/>
      <c r="M37" s="10"/>
      <c r="N37" s="53">
        <f>SUM(N30:N36)</f>
        <v>0.255</v>
      </c>
      <c r="O37" s="10"/>
      <c r="P37" s="10"/>
      <c r="Q37" s="10"/>
      <c r="R37" s="53">
        <f>SUM(R30:R36)</f>
        <v>0.255</v>
      </c>
      <c r="S37" s="10"/>
      <c r="T37" s="10"/>
      <c r="U37" s="10"/>
      <c r="V37" s="53">
        <f>SUM(V30:V36)</f>
        <v>0.22499999999999998</v>
      </c>
      <c r="W37" s="10"/>
      <c r="X37" s="10"/>
      <c r="Y37" s="10"/>
      <c r="Z37" s="53">
        <f>SUM(Z30:Z36)</f>
        <v>0.255</v>
      </c>
    </row>
    <row r="38" spans="2:26" x14ac:dyDescent="0.3">
      <c r="B38" s="40" t="s">
        <v>69</v>
      </c>
      <c r="C38" s="10"/>
      <c r="D38" s="10"/>
      <c r="E38" s="8">
        <v>0.2</v>
      </c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2:26" x14ac:dyDescent="0.3">
      <c r="B39" s="39" t="s">
        <v>70</v>
      </c>
      <c r="C39" s="8">
        <f>'INPUT SHEET'!S13</f>
        <v>0.5</v>
      </c>
      <c r="D39" s="51">
        <v>0.3</v>
      </c>
      <c r="E39" s="8">
        <f>D39*$E$38</f>
        <v>0.06</v>
      </c>
      <c r="F39" s="8">
        <f>E39*C39</f>
        <v>0.03</v>
      </c>
      <c r="G39" s="8">
        <f>'INPUT SHEET'!T13</f>
        <v>1</v>
      </c>
      <c r="H39" s="51">
        <v>0.3</v>
      </c>
      <c r="I39" s="8">
        <f>H39*$E$38</f>
        <v>0.06</v>
      </c>
      <c r="J39" s="8">
        <f>I39*G39</f>
        <v>0.06</v>
      </c>
      <c r="K39" s="8">
        <f>'INPUT SHEET'!U13</f>
        <v>1</v>
      </c>
      <c r="L39" s="51">
        <v>0.3</v>
      </c>
      <c r="M39" s="8">
        <f>L39*$E$38</f>
        <v>0.06</v>
      </c>
      <c r="N39" s="8">
        <f>M39*K39</f>
        <v>0.06</v>
      </c>
      <c r="O39" s="8">
        <f>'INPUT SHEET'!V13</f>
        <v>1</v>
      </c>
      <c r="P39" s="51">
        <v>0.3</v>
      </c>
      <c r="Q39" s="8">
        <f>P39*$E$38</f>
        <v>0.06</v>
      </c>
      <c r="R39" s="8">
        <f>Q39*O39</f>
        <v>0.06</v>
      </c>
      <c r="S39" s="8">
        <f>'INPUT SHEET'!W13</f>
        <v>1</v>
      </c>
      <c r="T39" s="51">
        <v>0.3</v>
      </c>
      <c r="U39" s="8">
        <f>T39*$E$38</f>
        <v>0.06</v>
      </c>
      <c r="V39" s="8">
        <f>U39*S39</f>
        <v>0.06</v>
      </c>
      <c r="W39" s="8">
        <f>'INPUT SHEET'!X13</f>
        <v>1</v>
      </c>
      <c r="X39" s="51">
        <v>0.3</v>
      </c>
      <c r="Y39" s="8">
        <f>X39*$E$38</f>
        <v>0.06</v>
      </c>
      <c r="Z39" s="8">
        <f>Y39*W39</f>
        <v>0.06</v>
      </c>
    </row>
    <row r="40" spans="2:26" x14ac:dyDescent="0.3">
      <c r="B40" s="39" t="s">
        <v>71</v>
      </c>
      <c r="C40" s="8">
        <f>'INPUT SHEET'!S14</f>
        <v>1</v>
      </c>
      <c r="D40" s="51">
        <v>0.3</v>
      </c>
      <c r="E40" s="8">
        <f t="shared" ref="E40:E42" si="12">D40*$E$38</f>
        <v>0.06</v>
      </c>
      <c r="F40" s="8">
        <f t="shared" ref="F40:F42" si="13">E40*C40</f>
        <v>0.06</v>
      </c>
      <c r="G40" s="8">
        <f>'INPUT SHEET'!T14</f>
        <v>0.5</v>
      </c>
      <c r="H40" s="51">
        <v>0.3</v>
      </c>
      <c r="I40" s="8">
        <f t="shared" ref="I40:I42" si="14">H40*$E$38</f>
        <v>0.06</v>
      </c>
      <c r="J40" s="8">
        <f t="shared" ref="J40:J42" si="15">I40*G40</f>
        <v>0.03</v>
      </c>
      <c r="K40" s="8">
        <f>'INPUT SHEET'!U14</f>
        <v>0.5</v>
      </c>
      <c r="L40" s="51">
        <v>0.3</v>
      </c>
      <c r="M40" s="8">
        <f t="shared" ref="M40:M42" si="16">L40*$E$38</f>
        <v>0.06</v>
      </c>
      <c r="N40" s="8">
        <f t="shared" ref="N40:N42" si="17">M40*K40</f>
        <v>0.03</v>
      </c>
      <c r="O40" s="8">
        <f>'INPUT SHEET'!V14</f>
        <v>0.5</v>
      </c>
      <c r="P40" s="51">
        <v>0.3</v>
      </c>
      <c r="Q40" s="8">
        <f t="shared" ref="Q40:Q42" si="18">P40*$E$38</f>
        <v>0.06</v>
      </c>
      <c r="R40" s="8">
        <f t="shared" ref="R40:R42" si="19">Q40*O40</f>
        <v>0.03</v>
      </c>
      <c r="S40" s="8">
        <f>'INPUT SHEET'!W14</f>
        <v>0.5</v>
      </c>
      <c r="T40" s="51">
        <v>0.3</v>
      </c>
      <c r="U40" s="8">
        <f t="shared" ref="U40:U42" si="20">T40*$E$38</f>
        <v>0.06</v>
      </c>
      <c r="V40" s="8">
        <f t="shared" ref="V40:V42" si="21">U40*S40</f>
        <v>0.03</v>
      </c>
      <c r="W40" s="8">
        <f>'INPUT SHEET'!X14</f>
        <v>0.5</v>
      </c>
      <c r="X40" s="51">
        <v>0.3</v>
      </c>
      <c r="Y40" s="8">
        <f t="shared" ref="Y40:Y42" si="22">X40*$E$38</f>
        <v>0.06</v>
      </c>
      <c r="Z40" s="8">
        <f t="shared" ref="Z40:Z42" si="23">Y40*W40</f>
        <v>0.03</v>
      </c>
    </row>
    <row r="41" spans="2:26" x14ac:dyDescent="0.3">
      <c r="B41" s="68" t="s">
        <v>72</v>
      </c>
      <c r="C41" s="8">
        <f>'INPUT SHEET'!S15</f>
        <v>1</v>
      </c>
      <c r="D41" s="51">
        <v>0.2</v>
      </c>
      <c r="E41" s="8">
        <f t="shared" si="12"/>
        <v>4.0000000000000008E-2</v>
      </c>
      <c r="F41" s="8">
        <f t="shared" si="13"/>
        <v>4.0000000000000008E-2</v>
      </c>
      <c r="G41" s="8">
        <f>'INPUT SHEET'!T15</f>
        <v>1</v>
      </c>
      <c r="H41" s="51">
        <v>0.2</v>
      </c>
      <c r="I41" s="8">
        <f t="shared" si="14"/>
        <v>4.0000000000000008E-2</v>
      </c>
      <c r="J41" s="8">
        <f t="shared" si="15"/>
        <v>4.0000000000000008E-2</v>
      </c>
      <c r="K41" s="8">
        <f>'INPUT SHEET'!U15</f>
        <v>1</v>
      </c>
      <c r="L41" s="51">
        <v>0.2</v>
      </c>
      <c r="M41" s="8">
        <f t="shared" si="16"/>
        <v>4.0000000000000008E-2</v>
      </c>
      <c r="N41" s="8">
        <f t="shared" si="17"/>
        <v>4.0000000000000008E-2</v>
      </c>
      <c r="O41" s="8">
        <f>'INPUT SHEET'!V15</f>
        <v>1</v>
      </c>
      <c r="P41" s="51">
        <v>0.2</v>
      </c>
      <c r="Q41" s="8">
        <f t="shared" si="18"/>
        <v>4.0000000000000008E-2</v>
      </c>
      <c r="R41" s="8">
        <f t="shared" si="19"/>
        <v>4.0000000000000008E-2</v>
      </c>
      <c r="S41" s="8">
        <f>'INPUT SHEET'!W15</f>
        <v>1</v>
      </c>
      <c r="T41" s="51">
        <v>0.2</v>
      </c>
      <c r="U41" s="8">
        <f t="shared" si="20"/>
        <v>4.0000000000000008E-2</v>
      </c>
      <c r="V41" s="8">
        <f t="shared" si="21"/>
        <v>4.0000000000000008E-2</v>
      </c>
      <c r="W41" s="8">
        <f>'INPUT SHEET'!X15</f>
        <v>1</v>
      </c>
      <c r="X41" s="51">
        <v>0.2</v>
      </c>
      <c r="Y41" s="8">
        <f t="shared" si="22"/>
        <v>4.0000000000000008E-2</v>
      </c>
      <c r="Z41" s="8">
        <f t="shared" si="23"/>
        <v>4.0000000000000008E-2</v>
      </c>
    </row>
    <row r="42" spans="2:26" x14ac:dyDescent="0.3">
      <c r="B42" s="68" t="s">
        <v>122</v>
      </c>
      <c r="C42" s="8">
        <f>'INPUT SHEET'!S16</f>
        <v>0</v>
      </c>
      <c r="D42" s="51">
        <v>0.2</v>
      </c>
      <c r="E42" s="8">
        <f t="shared" si="12"/>
        <v>4.0000000000000008E-2</v>
      </c>
      <c r="F42" s="8">
        <f t="shared" si="13"/>
        <v>0</v>
      </c>
      <c r="G42" s="8">
        <f>'INPUT SHEET'!T16</f>
        <v>1</v>
      </c>
      <c r="H42" s="51">
        <v>0.2</v>
      </c>
      <c r="I42" s="8">
        <f t="shared" si="14"/>
        <v>4.0000000000000008E-2</v>
      </c>
      <c r="J42" s="8">
        <f t="shared" si="15"/>
        <v>4.0000000000000008E-2</v>
      </c>
      <c r="K42" s="8">
        <f>'INPUT SHEET'!U16</f>
        <v>1</v>
      </c>
      <c r="L42" s="51">
        <v>0.2</v>
      </c>
      <c r="M42" s="8">
        <f t="shared" si="16"/>
        <v>4.0000000000000008E-2</v>
      </c>
      <c r="N42" s="8">
        <f t="shared" si="17"/>
        <v>4.0000000000000008E-2</v>
      </c>
      <c r="O42" s="8">
        <f>'INPUT SHEET'!V16</f>
        <v>1</v>
      </c>
      <c r="P42" s="51">
        <v>0.2</v>
      </c>
      <c r="Q42" s="8">
        <f t="shared" si="18"/>
        <v>4.0000000000000008E-2</v>
      </c>
      <c r="R42" s="8">
        <f t="shared" si="19"/>
        <v>4.0000000000000008E-2</v>
      </c>
      <c r="S42" s="8">
        <f>'INPUT SHEET'!W16</f>
        <v>1</v>
      </c>
      <c r="T42" s="51">
        <v>0.2</v>
      </c>
      <c r="U42" s="8">
        <f t="shared" si="20"/>
        <v>4.0000000000000008E-2</v>
      </c>
      <c r="V42" s="8">
        <f t="shared" si="21"/>
        <v>4.0000000000000008E-2</v>
      </c>
      <c r="W42" s="8">
        <f>'INPUT SHEET'!X16</f>
        <v>1</v>
      </c>
      <c r="X42" s="51">
        <v>0.2</v>
      </c>
      <c r="Y42" s="8">
        <f t="shared" si="22"/>
        <v>4.0000000000000008E-2</v>
      </c>
      <c r="Z42" s="8">
        <f t="shared" si="23"/>
        <v>4.0000000000000008E-2</v>
      </c>
    </row>
    <row r="43" spans="2:26" x14ac:dyDescent="0.3">
      <c r="B43" s="45" t="s">
        <v>118</v>
      </c>
      <c r="C43" s="10"/>
      <c r="D43" s="10"/>
      <c r="E43" s="10"/>
      <c r="F43" s="53">
        <f>SUM(F39:F42)</f>
        <v>0.13</v>
      </c>
      <c r="G43" s="10"/>
      <c r="H43" s="10"/>
      <c r="I43" s="10"/>
      <c r="J43" s="53">
        <f>SUM(J39:J42)</f>
        <v>0.17</v>
      </c>
      <c r="K43" s="10"/>
      <c r="L43" s="10"/>
      <c r="M43" s="10"/>
      <c r="N43" s="53">
        <f>SUM(N39:N42)</f>
        <v>0.17</v>
      </c>
      <c r="O43" s="10"/>
      <c r="P43" s="10"/>
      <c r="Q43" s="10"/>
      <c r="R43" s="53">
        <f>SUM(R39:R42)</f>
        <v>0.17</v>
      </c>
      <c r="S43" s="10"/>
      <c r="T43" s="10"/>
      <c r="U43" s="10"/>
      <c r="V43" s="53">
        <f>SUM(V39:V42)</f>
        <v>0.17</v>
      </c>
      <c r="W43" s="10"/>
      <c r="X43" s="10"/>
      <c r="Y43" s="10"/>
      <c r="Z43" s="53">
        <f>SUM(Z39:Z42)</f>
        <v>0.17</v>
      </c>
    </row>
    <row r="44" spans="2:26" x14ac:dyDescent="0.3">
      <c r="B44" s="40" t="s">
        <v>74</v>
      </c>
      <c r="C44" s="10"/>
      <c r="D44" s="10"/>
      <c r="E44" s="8">
        <v>0.5</v>
      </c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2:26" x14ac:dyDescent="0.3">
      <c r="B45" s="38" t="s">
        <v>131</v>
      </c>
      <c r="C45" s="8">
        <f>'INPUT SHEET'!S18</f>
        <v>1</v>
      </c>
      <c r="D45" s="51">
        <v>0.03</v>
      </c>
      <c r="E45" s="8">
        <f>D45*$E$44</f>
        <v>1.4999999999999999E-2</v>
      </c>
      <c r="F45" s="8">
        <f t="shared" ref="F45:F59" si="24">E45*C45</f>
        <v>1.4999999999999999E-2</v>
      </c>
      <c r="G45" s="8">
        <f>'INPUT SHEET'!T18</f>
        <v>1</v>
      </c>
      <c r="H45" s="51">
        <v>0.03</v>
      </c>
      <c r="I45" s="8">
        <f>H45*$E$44</f>
        <v>1.4999999999999999E-2</v>
      </c>
      <c r="J45" s="8">
        <f t="shared" ref="J45:J59" si="25">I45*G45</f>
        <v>1.4999999999999999E-2</v>
      </c>
      <c r="K45" s="8">
        <f>'INPUT SHEET'!U18</f>
        <v>1</v>
      </c>
      <c r="L45" s="51">
        <v>0.03</v>
      </c>
      <c r="M45" s="8">
        <f>L45*$E$44</f>
        <v>1.4999999999999999E-2</v>
      </c>
      <c r="N45" s="8">
        <f t="shared" ref="N45:N59" si="26">M45*K45</f>
        <v>1.4999999999999999E-2</v>
      </c>
      <c r="O45" s="8">
        <f>'INPUT SHEET'!V18</f>
        <v>1</v>
      </c>
      <c r="P45" s="51">
        <v>0.03</v>
      </c>
      <c r="Q45" s="8">
        <f>P45*$E$44</f>
        <v>1.4999999999999999E-2</v>
      </c>
      <c r="R45" s="8">
        <f t="shared" ref="R45:R59" si="27">Q45*O45</f>
        <v>1.4999999999999999E-2</v>
      </c>
      <c r="S45" s="8">
        <f>'INPUT SHEET'!W18</f>
        <v>1</v>
      </c>
      <c r="T45" s="51">
        <v>0.03</v>
      </c>
      <c r="U45" s="8">
        <f>T45*$E$44</f>
        <v>1.4999999999999999E-2</v>
      </c>
      <c r="V45" s="8">
        <f t="shared" ref="V45:V59" si="28">U45*S45</f>
        <v>1.4999999999999999E-2</v>
      </c>
      <c r="W45" s="8">
        <f>'INPUT SHEET'!X18</f>
        <v>1</v>
      </c>
      <c r="X45" s="51">
        <v>0.03</v>
      </c>
      <c r="Y45" s="8">
        <f>X45*$E$44</f>
        <v>1.4999999999999999E-2</v>
      </c>
      <c r="Z45" s="8">
        <f t="shared" ref="Z45:Z59" si="29">Y45*W45</f>
        <v>1.4999999999999999E-2</v>
      </c>
    </row>
    <row r="46" spans="2:26" x14ac:dyDescent="0.3">
      <c r="B46" s="38" t="s">
        <v>123</v>
      </c>
      <c r="C46" s="8">
        <f>'INPUT SHEET'!S19</f>
        <v>1</v>
      </c>
      <c r="D46" s="51">
        <v>0.03</v>
      </c>
      <c r="E46" s="8">
        <f t="shared" ref="E46:E59" si="30">D46*$E$44</f>
        <v>1.4999999999999999E-2</v>
      </c>
      <c r="F46" s="8">
        <f t="shared" si="24"/>
        <v>1.4999999999999999E-2</v>
      </c>
      <c r="G46" s="8">
        <f>'INPUT SHEET'!T19</f>
        <v>1</v>
      </c>
      <c r="H46" s="51">
        <v>0.03</v>
      </c>
      <c r="I46" s="8">
        <f t="shared" ref="I46:I59" si="31">H46*$E$44</f>
        <v>1.4999999999999999E-2</v>
      </c>
      <c r="J46" s="8">
        <f t="shared" si="25"/>
        <v>1.4999999999999999E-2</v>
      </c>
      <c r="K46" s="8">
        <f>'INPUT SHEET'!U19</f>
        <v>1</v>
      </c>
      <c r="L46" s="51">
        <v>0.03</v>
      </c>
      <c r="M46" s="8">
        <f t="shared" ref="M46:M59" si="32">L46*$E$44</f>
        <v>1.4999999999999999E-2</v>
      </c>
      <c r="N46" s="8">
        <f t="shared" si="26"/>
        <v>1.4999999999999999E-2</v>
      </c>
      <c r="O46" s="8">
        <f>'INPUT SHEET'!V19</f>
        <v>1</v>
      </c>
      <c r="P46" s="51">
        <v>0.03</v>
      </c>
      <c r="Q46" s="8">
        <f t="shared" ref="Q46:Q59" si="33">P46*$E$44</f>
        <v>1.4999999999999999E-2</v>
      </c>
      <c r="R46" s="8">
        <f t="shared" si="27"/>
        <v>1.4999999999999999E-2</v>
      </c>
      <c r="S46" s="8">
        <f>'INPUT SHEET'!W19</f>
        <v>1</v>
      </c>
      <c r="T46" s="51">
        <v>0.03</v>
      </c>
      <c r="U46" s="8">
        <f t="shared" ref="U46:U59" si="34">T46*$E$44</f>
        <v>1.4999999999999999E-2</v>
      </c>
      <c r="V46" s="8">
        <f t="shared" si="28"/>
        <v>1.4999999999999999E-2</v>
      </c>
      <c r="W46" s="8">
        <f>'INPUT SHEET'!X19</f>
        <v>1</v>
      </c>
      <c r="X46" s="51">
        <v>0.03</v>
      </c>
      <c r="Y46" s="8">
        <f t="shared" ref="Y46:Y59" si="35">X46*$E$44</f>
        <v>1.4999999999999999E-2</v>
      </c>
      <c r="Z46" s="8">
        <f t="shared" si="29"/>
        <v>1.4999999999999999E-2</v>
      </c>
    </row>
    <row r="47" spans="2:26" x14ac:dyDescent="0.3">
      <c r="B47" s="38" t="s">
        <v>124</v>
      </c>
      <c r="C47" s="8">
        <f>'INPUT SHEET'!S20</f>
        <v>0</v>
      </c>
      <c r="D47" s="51">
        <v>0.08</v>
      </c>
      <c r="E47" s="8">
        <f t="shared" si="30"/>
        <v>0.04</v>
      </c>
      <c r="F47" s="8">
        <f t="shared" si="24"/>
        <v>0</v>
      </c>
      <c r="G47" s="8">
        <f>'INPUT SHEET'!T20</f>
        <v>0</v>
      </c>
      <c r="H47" s="51">
        <v>0.08</v>
      </c>
      <c r="I47" s="8">
        <f t="shared" si="31"/>
        <v>0.04</v>
      </c>
      <c r="J47" s="8">
        <f t="shared" si="25"/>
        <v>0</v>
      </c>
      <c r="K47" s="8">
        <f>'INPUT SHEET'!U20</f>
        <v>0</v>
      </c>
      <c r="L47" s="51">
        <v>0.08</v>
      </c>
      <c r="M47" s="8">
        <f t="shared" si="32"/>
        <v>0.04</v>
      </c>
      <c r="N47" s="8">
        <f t="shared" si="26"/>
        <v>0</v>
      </c>
      <c r="O47" s="8">
        <f>'INPUT SHEET'!V20</f>
        <v>0</v>
      </c>
      <c r="P47" s="51">
        <v>0.08</v>
      </c>
      <c r="Q47" s="8">
        <f t="shared" si="33"/>
        <v>0.04</v>
      </c>
      <c r="R47" s="8">
        <f t="shared" si="27"/>
        <v>0</v>
      </c>
      <c r="S47" s="8">
        <f>'INPUT SHEET'!W20</f>
        <v>0</v>
      </c>
      <c r="T47" s="51">
        <v>0.08</v>
      </c>
      <c r="U47" s="8">
        <f t="shared" si="34"/>
        <v>0.04</v>
      </c>
      <c r="V47" s="8">
        <f t="shared" si="28"/>
        <v>0</v>
      </c>
      <c r="W47" s="8">
        <f>'INPUT SHEET'!X20</f>
        <v>0</v>
      </c>
      <c r="X47" s="51">
        <v>0.08</v>
      </c>
      <c r="Y47" s="8">
        <f t="shared" si="35"/>
        <v>0.04</v>
      </c>
      <c r="Z47" s="8">
        <f t="shared" si="29"/>
        <v>0</v>
      </c>
    </row>
    <row r="48" spans="2:26" x14ac:dyDescent="0.3">
      <c r="B48" s="38" t="s">
        <v>125</v>
      </c>
      <c r="C48" s="8">
        <f>'INPUT SHEET'!S21</f>
        <v>0.5</v>
      </c>
      <c r="D48" s="51">
        <v>0.08</v>
      </c>
      <c r="E48" s="8">
        <f t="shared" si="30"/>
        <v>0.04</v>
      </c>
      <c r="F48" s="8">
        <f t="shared" si="24"/>
        <v>0.02</v>
      </c>
      <c r="G48" s="8">
        <f>'INPUT SHEET'!T21</f>
        <v>0.5</v>
      </c>
      <c r="H48" s="51">
        <v>0.08</v>
      </c>
      <c r="I48" s="8">
        <f t="shared" si="31"/>
        <v>0.04</v>
      </c>
      <c r="J48" s="8">
        <f t="shared" si="25"/>
        <v>0.02</v>
      </c>
      <c r="K48" s="8">
        <f>'INPUT SHEET'!U21</f>
        <v>0.5</v>
      </c>
      <c r="L48" s="51">
        <v>0.08</v>
      </c>
      <c r="M48" s="8">
        <f t="shared" si="32"/>
        <v>0.04</v>
      </c>
      <c r="N48" s="8">
        <f t="shared" si="26"/>
        <v>0.02</v>
      </c>
      <c r="O48" s="8">
        <f>'INPUT SHEET'!V21</f>
        <v>0.5</v>
      </c>
      <c r="P48" s="51">
        <v>0.08</v>
      </c>
      <c r="Q48" s="8">
        <f t="shared" si="33"/>
        <v>0.04</v>
      </c>
      <c r="R48" s="8">
        <f t="shared" si="27"/>
        <v>0.02</v>
      </c>
      <c r="S48" s="8">
        <f>'INPUT SHEET'!W21</f>
        <v>0.5</v>
      </c>
      <c r="T48" s="51">
        <v>0.08</v>
      </c>
      <c r="U48" s="8">
        <f t="shared" si="34"/>
        <v>0.04</v>
      </c>
      <c r="V48" s="8">
        <f t="shared" si="28"/>
        <v>0.02</v>
      </c>
      <c r="W48" s="8">
        <f>'INPUT SHEET'!X21</f>
        <v>1</v>
      </c>
      <c r="X48" s="51">
        <v>0.08</v>
      </c>
      <c r="Y48" s="8">
        <f t="shared" si="35"/>
        <v>0.04</v>
      </c>
      <c r="Z48" s="8">
        <f t="shared" si="29"/>
        <v>0.04</v>
      </c>
    </row>
    <row r="49" spans="2:26" x14ac:dyDescent="0.3">
      <c r="B49" s="38" t="s">
        <v>127</v>
      </c>
      <c r="C49" s="8">
        <f>'INPUT SHEET'!S22</f>
        <v>0.5</v>
      </c>
      <c r="D49" s="51">
        <v>0.05</v>
      </c>
      <c r="E49" s="8">
        <f t="shared" si="30"/>
        <v>2.5000000000000001E-2</v>
      </c>
      <c r="F49" s="8">
        <f t="shared" si="24"/>
        <v>1.2500000000000001E-2</v>
      </c>
      <c r="G49" s="8">
        <f>'INPUT SHEET'!T22</f>
        <v>1</v>
      </c>
      <c r="H49" s="51">
        <v>0.05</v>
      </c>
      <c r="I49" s="8">
        <f t="shared" si="31"/>
        <v>2.5000000000000001E-2</v>
      </c>
      <c r="J49" s="8">
        <f t="shared" si="25"/>
        <v>2.5000000000000001E-2</v>
      </c>
      <c r="K49" s="8">
        <f>'INPUT SHEET'!U22</f>
        <v>0.5</v>
      </c>
      <c r="L49" s="51">
        <v>0.05</v>
      </c>
      <c r="M49" s="8">
        <f t="shared" si="32"/>
        <v>2.5000000000000001E-2</v>
      </c>
      <c r="N49" s="8">
        <f t="shared" si="26"/>
        <v>1.2500000000000001E-2</v>
      </c>
      <c r="O49" s="8">
        <f>'INPUT SHEET'!V22</f>
        <v>0.5</v>
      </c>
      <c r="P49" s="51">
        <v>0.05</v>
      </c>
      <c r="Q49" s="8">
        <f t="shared" si="33"/>
        <v>2.5000000000000001E-2</v>
      </c>
      <c r="R49" s="8">
        <f t="shared" si="27"/>
        <v>1.2500000000000001E-2</v>
      </c>
      <c r="S49" s="8">
        <f>'INPUT SHEET'!W22</f>
        <v>0.5</v>
      </c>
      <c r="T49" s="51">
        <v>0.05</v>
      </c>
      <c r="U49" s="8">
        <f t="shared" si="34"/>
        <v>2.5000000000000001E-2</v>
      </c>
      <c r="V49" s="8">
        <f t="shared" si="28"/>
        <v>1.2500000000000001E-2</v>
      </c>
      <c r="W49" s="8">
        <f>'INPUT SHEET'!X22</f>
        <v>1</v>
      </c>
      <c r="X49" s="51">
        <v>0.05</v>
      </c>
      <c r="Y49" s="8">
        <f t="shared" si="35"/>
        <v>2.5000000000000001E-2</v>
      </c>
      <c r="Z49" s="8">
        <f t="shared" si="29"/>
        <v>2.5000000000000001E-2</v>
      </c>
    </row>
    <row r="50" spans="2:26" x14ac:dyDescent="0.3">
      <c r="B50" s="38" t="s">
        <v>128</v>
      </c>
      <c r="C50" s="8">
        <f>'INPUT SHEET'!S23</f>
        <v>1</v>
      </c>
      <c r="D50" s="51">
        <v>0.1</v>
      </c>
      <c r="E50" s="8">
        <f t="shared" si="30"/>
        <v>0.05</v>
      </c>
      <c r="F50" s="8">
        <f t="shared" si="24"/>
        <v>0.05</v>
      </c>
      <c r="G50" s="8">
        <f>'INPUT SHEET'!T23</f>
        <v>1</v>
      </c>
      <c r="H50" s="51">
        <v>0.1</v>
      </c>
      <c r="I50" s="8">
        <f t="shared" si="31"/>
        <v>0.05</v>
      </c>
      <c r="J50" s="8">
        <f t="shared" si="25"/>
        <v>0.05</v>
      </c>
      <c r="K50" s="8">
        <f>'INPUT SHEET'!U23</f>
        <v>1</v>
      </c>
      <c r="L50" s="51">
        <v>0.1</v>
      </c>
      <c r="M50" s="8">
        <f t="shared" si="32"/>
        <v>0.05</v>
      </c>
      <c r="N50" s="8">
        <f t="shared" si="26"/>
        <v>0.05</v>
      </c>
      <c r="O50" s="8">
        <f>'INPUT SHEET'!V23</f>
        <v>1</v>
      </c>
      <c r="P50" s="51">
        <v>0.1</v>
      </c>
      <c r="Q50" s="8">
        <f t="shared" si="33"/>
        <v>0.05</v>
      </c>
      <c r="R50" s="8">
        <f t="shared" si="27"/>
        <v>0.05</v>
      </c>
      <c r="S50" s="8">
        <f>'INPUT SHEET'!W23</f>
        <v>1</v>
      </c>
      <c r="T50" s="51">
        <v>0.1</v>
      </c>
      <c r="U50" s="8">
        <f t="shared" si="34"/>
        <v>0.05</v>
      </c>
      <c r="V50" s="8">
        <f t="shared" si="28"/>
        <v>0.05</v>
      </c>
      <c r="W50" s="8">
        <f>'INPUT SHEET'!X23</f>
        <v>0</v>
      </c>
      <c r="X50" s="51">
        <v>0.1</v>
      </c>
      <c r="Y50" s="8">
        <f t="shared" si="35"/>
        <v>0.05</v>
      </c>
      <c r="Z50" s="8">
        <f t="shared" si="29"/>
        <v>0</v>
      </c>
    </row>
    <row r="51" spans="2:26" x14ac:dyDescent="0.3">
      <c r="B51" s="38" t="s">
        <v>129</v>
      </c>
      <c r="C51" s="8">
        <f>'INPUT SHEET'!S24</f>
        <v>1</v>
      </c>
      <c r="D51" s="51">
        <v>7.0000000000000007E-2</v>
      </c>
      <c r="E51" s="8">
        <f t="shared" si="30"/>
        <v>3.5000000000000003E-2</v>
      </c>
      <c r="F51" s="8">
        <f t="shared" si="24"/>
        <v>3.5000000000000003E-2</v>
      </c>
      <c r="G51" s="8">
        <f>'INPUT SHEET'!T24</f>
        <v>1</v>
      </c>
      <c r="H51" s="51">
        <v>7.0000000000000007E-2</v>
      </c>
      <c r="I51" s="8">
        <f t="shared" si="31"/>
        <v>3.5000000000000003E-2</v>
      </c>
      <c r="J51" s="8">
        <f t="shared" si="25"/>
        <v>3.5000000000000003E-2</v>
      </c>
      <c r="K51" s="8">
        <f>'INPUT SHEET'!U24</f>
        <v>1</v>
      </c>
      <c r="L51" s="51">
        <v>7.0000000000000007E-2</v>
      </c>
      <c r="M51" s="8">
        <f t="shared" si="32"/>
        <v>3.5000000000000003E-2</v>
      </c>
      <c r="N51" s="8">
        <f t="shared" si="26"/>
        <v>3.5000000000000003E-2</v>
      </c>
      <c r="O51" s="8">
        <f>'INPUT SHEET'!V24</f>
        <v>1</v>
      </c>
      <c r="P51" s="51">
        <v>7.0000000000000007E-2</v>
      </c>
      <c r="Q51" s="8">
        <f t="shared" si="33"/>
        <v>3.5000000000000003E-2</v>
      </c>
      <c r="R51" s="8">
        <f t="shared" si="27"/>
        <v>3.5000000000000003E-2</v>
      </c>
      <c r="S51" s="8">
        <f>'INPUT SHEET'!W24</f>
        <v>1</v>
      </c>
      <c r="T51" s="51">
        <v>7.0000000000000007E-2</v>
      </c>
      <c r="U51" s="8">
        <f t="shared" si="34"/>
        <v>3.5000000000000003E-2</v>
      </c>
      <c r="V51" s="8">
        <f t="shared" si="28"/>
        <v>3.5000000000000003E-2</v>
      </c>
      <c r="W51" s="8">
        <f>'INPUT SHEET'!X24</f>
        <v>1</v>
      </c>
      <c r="X51" s="51">
        <v>7.0000000000000007E-2</v>
      </c>
      <c r="Y51" s="8">
        <f t="shared" si="35"/>
        <v>3.5000000000000003E-2</v>
      </c>
      <c r="Z51" s="8">
        <f t="shared" si="29"/>
        <v>3.5000000000000003E-2</v>
      </c>
    </row>
    <row r="52" spans="2:26" x14ac:dyDescent="0.3">
      <c r="B52" s="68" t="s">
        <v>126</v>
      </c>
      <c r="C52" s="8">
        <f>'INPUT SHEET'!S25</f>
        <v>1</v>
      </c>
      <c r="D52" s="51">
        <v>0.05</v>
      </c>
      <c r="E52" s="8">
        <f t="shared" si="30"/>
        <v>2.5000000000000001E-2</v>
      </c>
      <c r="F52" s="8">
        <f t="shared" si="24"/>
        <v>2.5000000000000001E-2</v>
      </c>
      <c r="G52" s="8">
        <f>'INPUT SHEET'!T25</f>
        <v>1</v>
      </c>
      <c r="H52" s="51">
        <v>0.05</v>
      </c>
      <c r="I52" s="8">
        <f t="shared" si="31"/>
        <v>2.5000000000000001E-2</v>
      </c>
      <c r="J52" s="8">
        <f t="shared" si="25"/>
        <v>2.5000000000000001E-2</v>
      </c>
      <c r="K52" s="8">
        <f>'INPUT SHEET'!U25</f>
        <v>1</v>
      </c>
      <c r="L52" s="51">
        <v>0.05</v>
      </c>
      <c r="M52" s="8">
        <f t="shared" si="32"/>
        <v>2.5000000000000001E-2</v>
      </c>
      <c r="N52" s="8">
        <f t="shared" si="26"/>
        <v>2.5000000000000001E-2</v>
      </c>
      <c r="O52" s="8">
        <f>'INPUT SHEET'!V25</f>
        <v>1</v>
      </c>
      <c r="P52" s="51">
        <v>0.05</v>
      </c>
      <c r="Q52" s="8">
        <f t="shared" si="33"/>
        <v>2.5000000000000001E-2</v>
      </c>
      <c r="R52" s="8">
        <f t="shared" si="27"/>
        <v>2.5000000000000001E-2</v>
      </c>
      <c r="S52" s="8">
        <f>'INPUT SHEET'!W25</f>
        <v>1</v>
      </c>
      <c r="T52" s="51">
        <v>0.05</v>
      </c>
      <c r="U52" s="8">
        <f t="shared" si="34"/>
        <v>2.5000000000000001E-2</v>
      </c>
      <c r="V52" s="8">
        <f t="shared" si="28"/>
        <v>2.5000000000000001E-2</v>
      </c>
      <c r="W52" s="8">
        <f>'INPUT SHEET'!X25</f>
        <v>1</v>
      </c>
      <c r="X52" s="51">
        <v>0.05</v>
      </c>
      <c r="Y52" s="8">
        <f t="shared" si="35"/>
        <v>2.5000000000000001E-2</v>
      </c>
      <c r="Z52" s="8">
        <f t="shared" si="29"/>
        <v>2.5000000000000001E-2</v>
      </c>
    </row>
    <row r="53" spans="2:26" x14ac:dyDescent="0.3">
      <c r="B53" s="38" t="s">
        <v>78</v>
      </c>
      <c r="C53" s="8">
        <f>'INPUT SHEET'!S26</f>
        <v>0.5</v>
      </c>
      <c r="D53" s="51">
        <v>0.05</v>
      </c>
      <c r="E53" s="8">
        <f t="shared" si="30"/>
        <v>2.5000000000000001E-2</v>
      </c>
      <c r="F53" s="8">
        <f t="shared" si="24"/>
        <v>1.2500000000000001E-2</v>
      </c>
      <c r="G53" s="8">
        <f>'INPUT SHEET'!T26</f>
        <v>1</v>
      </c>
      <c r="H53" s="51">
        <v>0.05</v>
      </c>
      <c r="I53" s="8">
        <f t="shared" si="31"/>
        <v>2.5000000000000001E-2</v>
      </c>
      <c r="J53" s="8">
        <f t="shared" si="25"/>
        <v>2.5000000000000001E-2</v>
      </c>
      <c r="K53" s="8">
        <f>'INPUT SHEET'!U26</f>
        <v>0.5</v>
      </c>
      <c r="L53" s="51">
        <v>0.05</v>
      </c>
      <c r="M53" s="8">
        <f t="shared" si="32"/>
        <v>2.5000000000000001E-2</v>
      </c>
      <c r="N53" s="8">
        <f t="shared" si="26"/>
        <v>1.2500000000000001E-2</v>
      </c>
      <c r="O53" s="8">
        <f>'INPUT SHEET'!V26</f>
        <v>0.5</v>
      </c>
      <c r="P53" s="51">
        <v>0.05</v>
      </c>
      <c r="Q53" s="8">
        <f t="shared" si="33"/>
        <v>2.5000000000000001E-2</v>
      </c>
      <c r="R53" s="8">
        <f t="shared" si="27"/>
        <v>1.2500000000000001E-2</v>
      </c>
      <c r="S53" s="8">
        <f>'INPUT SHEET'!W26</f>
        <v>0.5</v>
      </c>
      <c r="T53" s="51">
        <v>0.05</v>
      </c>
      <c r="U53" s="8">
        <f t="shared" si="34"/>
        <v>2.5000000000000001E-2</v>
      </c>
      <c r="V53" s="8">
        <f t="shared" si="28"/>
        <v>1.2500000000000001E-2</v>
      </c>
      <c r="W53" s="8">
        <f>'INPUT SHEET'!X26</f>
        <v>1</v>
      </c>
      <c r="X53" s="51">
        <v>0.05</v>
      </c>
      <c r="Y53" s="8">
        <f t="shared" si="35"/>
        <v>2.5000000000000001E-2</v>
      </c>
      <c r="Z53" s="8">
        <f t="shared" si="29"/>
        <v>2.5000000000000001E-2</v>
      </c>
    </row>
    <row r="54" spans="2:26" x14ac:dyDescent="0.3">
      <c r="B54" s="38" t="s">
        <v>79</v>
      </c>
      <c r="C54" s="8">
        <f>'INPUT SHEET'!S27</f>
        <v>1</v>
      </c>
      <c r="D54" s="51">
        <v>0.03</v>
      </c>
      <c r="E54" s="8">
        <f t="shared" si="30"/>
        <v>1.4999999999999999E-2</v>
      </c>
      <c r="F54" s="8">
        <f t="shared" si="24"/>
        <v>1.4999999999999999E-2</v>
      </c>
      <c r="G54" s="8">
        <f>'INPUT SHEET'!T27</f>
        <v>0</v>
      </c>
      <c r="H54" s="51">
        <v>0.03</v>
      </c>
      <c r="I54" s="8">
        <f t="shared" si="31"/>
        <v>1.4999999999999999E-2</v>
      </c>
      <c r="J54" s="8">
        <f t="shared" si="25"/>
        <v>0</v>
      </c>
      <c r="K54" s="8">
        <f>'INPUT SHEET'!U27</f>
        <v>1</v>
      </c>
      <c r="L54" s="51">
        <v>0.03</v>
      </c>
      <c r="M54" s="8">
        <f t="shared" si="32"/>
        <v>1.4999999999999999E-2</v>
      </c>
      <c r="N54" s="8">
        <f t="shared" si="26"/>
        <v>1.4999999999999999E-2</v>
      </c>
      <c r="O54" s="8">
        <f>'INPUT SHEET'!V27</f>
        <v>1</v>
      </c>
      <c r="P54" s="51">
        <v>0.03</v>
      </c>
      <c r="Q54" s="8">
        <f t="shared" si="33"/>
        <v>1.4999999999999999E-2</v>
      </c>
      <c r="R54" s="8">
        <f t="shared" si="27"/>
        <v>1.4999999999999999E-2</v>
      </c>
      <c r="S54" s="8">
        <f>'INPUT SHEET'!W27</f>
        <v>1</v>
      </c>
      <c r="T54" s="51">
        <v>0.03</v>
      </c>
      <c r="U54" s="8">
        <f t="shared" si="34"/>
        <v>1.4999999999999999E-2</v>
      </c>
      <c r="V54" s="8">
        <f t="shared" si="28"/>
        <v>1.4999999999999999E-2</v>
      </c>
      <c r="W54" s="8">
        <f>'INPUT SHEET'!X27</f>
        <v>1</v>
      </c>
      <c r="X54" s="51">
        <v>0.03</v>
      </c>
      <c r="Y54" s="8">
        <f t="shared" si="35"/>
        <v>1.4999999999999999E-2</v>
      </c>
      <c r="Z54" s="8">
        <f t="shared" si="29"/>
        <v>1.4999999999999999E-2</v>
      </c>
    </row>
    <row r="55" spans="2:26" ht="13.95" customHeight="1" x14ac:dyDescent="0.3">
      <c r="B55" s="68" t="s">
        <v>81</v>
      </c>
      <c r="C55" s="8">
        <f>'INPUT SHEET'!S28</f>
        <v>1</v>
      </c>
      <c r="D55" s="51">
        <v>0.05</v>
      </c>
      <c r="E55" s="8">
        <f t="shared" si="30"/>
        <v>2.5000000000000001E-2</v>
      </c>
      <c r="F55" s="8">
        <f t="shared" si="24"/>
        <v>2.5000000000000001E-2</v>
      </c>
      <c r="G55" s="8">
        <f>'INPUT SHEET'!T28</f>
        <v>1</v>
      </c>
      <c r="H55" s="51">
        <v>0.05</v>
      </c>
      <c r="I55" s="8">
        <f t="shared" si="31"/>
        <v>2.5000000000000001E-2</v>
      </c>
      <c r="J55" s="8">
        <f t="shared" si="25"/>
        <v>2.5000000000000001E-2</v>
      </c>
      <c r="K55" s="8">
        <f>'INPUT SHEET'!U28</f>
        <v>1</v>
      </c>
      <c r="L55" s="51">
        <v>0.05</v>
      </c>
      <c r="M55" s="8">
        <f t="shared" si="32"/>
        <v>2.5000000000000001E-2</v>
      </c>
      <c r="N55" s="8">
        <f t="shared" si="26"/>
        <v>2.5000000000000001E-2</v>
      </c>
      <c r="O55" s="8">
        <f>'INPUT SHEET'!V28</f>
        <v>1</v>
      </c>
      <c r="P55" s="51">
        <v>0.05</v>
      </c>
      <c r="Q55" s="8">
        <f t="shared" si="33"/>
        <v>2.5000000000000001E-2</v>
      </c>
      <c r="R55" s="8">
        <f t="shared" si="27"/>
        <v>2.5000000000000001E-2</v>
      </c>
      <c r="S55" s="8">
        <f>'INPUT SHEET'!W28</f>
        <v>1</v>
      </c>
      <c r="T55" s="51">
        <v>0.05</v>
      </c>
      <c r="U55" s="8">
        <f t="shared" si="34"/>
        <v>2.5000000000000001E-2</v>
      </c>
      <c r="V55" s="8">
        <f t="shared" si="28"/>
        <v>2.5000000000000001E-2</v>
      </c>
      <c r="W55" s="8">
        <f>'INPUT SHEET'!X28</f>
        <v>1</v>
      </c>
      <c r="X55" s="51">
        <v>0.05</v>
      </c>
      <c r="Y55" s="8">
        <f t="shared" si="35"/>
        <v>2.5000000000000001E-2</v>
      </c>
      <c r="Z55" s="8">
        <f t="shared" si="29"/>
        <v>2.5000000000000001E-2</v>
      </c>
    </row>
    <row r="56" spans="2:26" x14ac:dyDescent="0.3">
      <c r="B56" s="38" t="s">
        <v>82</v>
      </c>
      <c r="C56" s="8">
        <f>'INPUT SHEET'!S29</f>
        <v>1</v>
      </c>
      <c r="D56" s="51">
        <v>0.03</v>
      </c>
      <c r="E56" s="8">
        <f t="shared" si="30"/>
        <v>1.4999999999999999E-2</v>
      </c>
      <c r="F56" s="8">
        <f t="shared" si="24"/>
        <v>1.4999999999999999E-2</v>
      </c>
      <c r="G56" s="8">
        <f>'INPUT SHEET'!T29</f>
        <v>1</v>
      </c>
      <c r="H56" s="51">
        <v>0.03</v>
      </c>
      <c r="I56" s="8">
        <f t="shared" si="31"/>
        <v>1.4999999999999999E-2</v>
      </c>
      <c r="J56" s="8">
        <f t="shared" si="25"/>
        <v>1.4999999999999999E-2</v>
      </c>
      <c r="K56" s="8">
        <f>'INPUT SHEET'!U29</f>
        <v>1</v>
      </c>
      <c r="L56" s="51">
        <v>0.03</v>
      </c>
      <c r="M56" s="8">
        <f t="shared" si="32"/>
        <v>1.4999999999999999E-2</v>
      </c>
      <c r="N56" s="8">
        <f t="shared" si="26"/>
        <v>1.4999999999999999E-2</v>
      </c>
      <c r="O56" s="8">
        <f>'INPUT SHEET'!V29</f>
        <v>1</v>
      </c>
      <c r="P56" s="51">
        <v>0.03</v>
      </c>
      <c r="Q56" s="8">
        <f t="shared" si="33"/>
        <v>1.4999999999999999E-2</v>
      </c>
      <c r="R56" s="8">
        <f t="shared" si="27"/>
        <v>1.4999999999999999E-2</v>
      </c>
      <c r="S56" s="8">
        <f>'INPUT SHEET'!W29</f>
        <v>1</v>
      </c>
      <c r="T56" s="51">
        <v>0.03</v>
      </c>
      <c r="U56" s="8">
        <f t="shared" si="34"/>
        <v>1.4999999999999999E-2</v>
      </c>
      <c r="V56" s="8">
        <f t="shared" si="28"/>
        <v>1.4999999999999999E-2</v>
      </c>
      <c r="W56" s="8">
        <f>'INPUT SHEET'!X29</f>
        <v>1</v>
      </c>
      <c r="X56" s="51">
        <v>0.03</v>
      </c>
      <c r="Y56" s="8">
        <f t="shared" si="35"/>
        <v>1.4999999999999999E-2</v>
      </c>
      <c r="Z56" s="8">
        <f t="shared" si="29"/>
        <v>1.4999999999999999E-2</v>
      </c>
    </row>
    <row r="57" spans="2:26" x14ac:dyDescent="0.3">
      <c r="B57" s="38" t="s">
        <v>83</v>
      </c>
      <c r="C57" s="8">
        <f>'INPUT SHEET'!S30</f>
        <v>1</v>
      </c>
      <c r="D57" s="51">
        <v>0.05</v>
      </c>
      <c r="E57" s="8">
        <f t="shared" si="30"/>
        <v>2.5000000000000001E-2</v>
      </c>
      <c r="F57" s="8">
        <f t="shared" si="24"/>
        <v>2.5000000000000001E-2</v>
      </c>
      <c r="G57" s="8">
        <f>'INPUT SHEET'!T30</f>
        <v>1</v>
      </c>
      <c r="H57" s="51">
        <v>0.05</v>
      </c>
      <c r="I57" s="8">
        <f t="shared" si="31"/>
        <v>2.5000000000000001E-2</v>
      </c>
      <c r="J57" s="8">
        <f t="shared" si="25"/>
        <v>2.5000000000000001E-2</v>
      </c>
      <c r="K57" s="8">
        <f>'INPUT SHEET'!U30</f>
        <v>1</v>
      </c>
      <c r="L57" s="51">
        <v>0.05</v>
      </c>
      <c r="M57" s="8">
        <f t="shared" si="32"/>
        <v>2.5000000000000001E-2</v>
      </c>
      <c r="N57" s="8">
        <f t="shared" si="26"/>
        <v>2.5000000000000001E-2</v>
      </c>
      <c r="O57" s="8">
        <f>'INPUT SHEET'!V30</f>
        <v>1</v>
      </c>
      <c r="P57" s="51">
        <v>0.05</v>
      </c>
      <c r="Q57" s="8">
        <f t="shared" si="33"/>
        <v>2.5000000000000001E-2</v>
      </c>
      <c r="R57" s="8">
        <f t="shared" si="27"/>
        <v>2.5000000000000001E-2</v>
      </c>
      <c r="S57" s="8">
        <f>'INPUT SHEET'!W30</f>
        <v>1</v>
      </c>
      <c r="T57" s="51">
        <v>0.05</v>
      </c>
      <c r="U57" s="8">
        <f t="shared" si="34"/>
        <v>2.5000000000000001E-2</v>
      </c>
      <c r="V57" s="8">
        <f t="shared" si="28"/>
        <v>2.5000000000000001E-2</v>
      </c>
      <c r="W57" s="8">
        <f>'INPUT SHEET'!X30</f>
        <v>1</v>
      </c>
      <c r="X57" s="51">
        <v>0.05</v>
      </c>
      <c r="Y57" s="8">
        <f t="shared" si="35"/>
        <v>2.5000000000000001E-2</v>
      </c>
      <c r="Z57" s="8">
        <f t="shared" si="29"/>
        <v>2.5000000000000001E-2</v>
      </c>
    </row>
    <row r="58" spans="2:26" x14ac:dyDescent="0.3">
      <c r="B58" s="38" t="s">
        <v>102</v>
      </c>
      <c r="C58" s="8">
        <f>'INPUT SHEET'!S31</f>
        <v>0.5</v>
      </c>
      <c r="D58" s="51">
        <v>0.15</v>
      </c>
      <c r="E58" s="8">
        <f t="shared" si="30"/>
        <v>7.4999999999999997E-2</v>
      </c>
      <c r="F58" s="8">
        <f t="shared" si="24"/>
        <v>3.7499999999999999E-2</v>
      </c>
      <c r="G58" s="8">
        <f>'INPUT SHEET'!T31</f>
        <v>1</v>
      </c>
      <c r="H58" s="51">
        <v>0.15</v>
      </c>
      <c r="I58" s="8">
        <f t="shared" si="31"/>
        <v>7.4999999999999997E-2</v>
      </c>
      <c r="J58" s="8">
        <f t="shared" si="25"/>
        <v>7.4999999999999997E-2</v>
      </c>
      <c r="K58" s="8">
        <f>'INPUT SHEET'!U31</f>
        <v>1</v>
      </c>
      <c r="L58" s="51">
        <v>0.15</v>
      </c>
      <c r="M58" s="8">
        <f t="shared" si="32"/>
        <v>7.4999999999999997E-2</v>
      </c>
      <c r="N58" s="8">
        <f t="shared" si="26"/>
        <v>7.4999999999999997E-2</v>
      </c>
      <c r="O58" s="8">
        <f>'INPUT SHEET'!V31</f>
        <v>0</v>
      </c>
      <c r="P58" s="51">
        <v>0.15</v>
      </c>
      <c r="Q58" s="8">
        <f t="shared" si="33"/>
        <v>7.4999999999999997E-2</v>
      </c>
      <c r="R58" s="8">
        <f t="shared" si="27"/>
        <v>0</v>
      </c>
      <c r="S58" s="8">
        <f>'INPUT SHEET'!W31</f>
        <v>0</v>
      </c>
      <c r="T58" s="51">
        <v>0.15</v>
      </c>
      <c r="U58" s="8">
        <f t="shared" si="34"/>
        <v>7.4999999999999997E-2</v>
      </c>
      <c r="V58" s="8">
        <f t="shared" si="28"/>
        <v>0</v>
      </c>
      <c r="W58" s="8">
        <f>'INPUT SHEET'!X31</f>
        <v>1</v>
      </c>
      <c r="X58" s="51">
        <v>0.15</v>
      </c>
      <c r="Y58" s="8">
        <f t="shared" si="35"/>
        <v>7.4999999999999997E-2</v>
      </c>
      <c r="Z58" s="8">
        <f t="shared" si="29"/>
        <v>7.4999999999999997E-2</v>
      </c>
    </row>
    <row r="59" spans="2:26" x14ac:dyDescent="0.3">
      <c r="B59" s="38" t="s">
        <v>130</v>
      </c>
      <c r="C59" s="8">
        <f>'INPUT SHEET'!S32</f>
        <v>1</v>
      </c>
      <c r="D59" s="51">
        <v>0.15</v>
      </c>
      <c r="E59" s="8">
        <f t="shared" si="30"/>
        <v>7.4999999999999997E-2</v>
      </c>
      <c r="F59" s="8">
        <f t="shared" si="24"/>
        <v>7.4999999999999997E-2</v>
      </c>
      <c r="G59" s="8">
        <f>'INPUT SHEET'!T32</f>
        <v>1</v>
      </c>
      <c r="H59" s="51">
        <v>0.15</v>
      </c>
      <c r="I59" s="8">
        <f t="shared" si="31"/>
        <v>7.4999999999999997E-2</v>
      </c>
      <c r="J59" s="8">
        <f t="shared" si="25"/>
        <v>7.4999999999999997E-2</v>
      </c>
      <c r="K59" s="8">
        <f>'INPUT SHEET'!U32</f>
        <v>1</v>
      </c>
      <c r="L59" s="51">
        <v>0.15</v>
      </c>
      <c r="M59" s="8">
        <f t="shared" si="32"/>
        <v>7.4999999999999997E-2</v>
      </c>
      <c r="N59" s="8">
        <f t="shared" si="26"/>
        <v>7.4999999999999997E-2</v>
      </c>
      <c r="O59" s="8">
        <f>'INPUT SHEET'!V32</f>
        <v>1</v>
      </c>
      <c r="P59" s="51">
        <v>0.15</v>
      </c>
      <c r="Q59" s="8">
        <f t="shared" si="33"/>
        <v>7.4999999999999997E-2</v>
      </c>
      <c r="R59" s="8">
        <f t="shared" si="27"/>
        <v>7.4999999999999997E-2</v>
      </c>
      <c r="S59" s="8">
        <f>'INPUT SHEET'!W32</f>
        <v>1</v>
      </c>
      <c r="T59" s="51">
        <v>0.15</v>
      </c>
      <c r="U59" s="8">
        <f t="shared" si="34"/>
        <v>7.4999999999999997E-2</v>
      </c>
      <c r="V59" s="8">
        <f t="shared" si="28"/>
        <v>7.4999999999999997E-2</v>
      </c>
      <c r="W59" s="8">
        <f>'INPUT SHEET'!X32</f>
        <v>0</v>
      </c>
      <c r="X59" s="51">
        <v>0.15</v>
      </c>
      <c r="Y59" s="8">
        <f t="shared" si="35"/>
        <v>7.4999999999999997E-2</v>
      </c>
      <c r="Z59" s="8">
        <f t="shared" si="29"/>
        <v>0</v>
      </c>
    </row>
    <row r="60" spans="2:26" x14ac:dyDescent="0.3">
      <c r="B60" s="45" t="s">
        <v>132</v>
      </c>
      <c r="C60" s="10"/>
      <c r="D60" s="10"/>
      <c r="E60" s="10"/>
      <c r="F60" s="52">
        <f>SUM(F45:F59)</f>
        <v>0.3775</v>
      </c>
      <c r="G60" s="10"/>
      <c r="H60" s="10"/>
      <c r="I60" s="10"/>
      <c r="J60" s="52">
        <f>SUM(J45:J59)</f>
        <v>0.42500000000000004</v>
      </c>
      <c r="K60" s="10"/>
      <c r="L60" s="10"/>
      <c r="M60" s="10"/>
      <c r="N60" s="52">
        <f>SUM(N45:N59)</f>
        <v>0.41500000000000004</v>
      </c>
      <c r="O60" s="10"/>
      <c r="P60" s="10"/>
      <c r="Q60" s="10"/>
      <c r="R60" s="52">
        <f>SUM(R45:R59)</f>
        <v>0.34</v>
      </c>
      <c r="S60" s="10"/>
      <c r="T60" s="10"/>
      <c r="U60" s="10"/>
      <c r="V60" s="52">
        <f>SUM(V45:V59)</f>
        <v>0.34</v>
      </c>
      <c r="W60" s="10"/>
      <c r="X60" s="10"/>
      <c r="Y60" s="10"/>
      <c r="Z60" s="52">
        <f>SUM(Z45:Z59)</f>
        <v>0.33500000000000002</v>
      </c>
    </row>
    <row r="61" spans="2:26" ht="18.2" x14ac:dyDescent="0.3">
      <c r="B61" s="54" t="s">
        <v>103</v>
      </c>
      <c r="C61" s="10"/>
      <c r="D61" s="10"/>
      <c r="E61" s="10"/>
      <c r="F61" s="55">
        <f>(F60+F43+F37)*100</f>
        <v>73.25</v>
      </c>
      <c r="G61" s="10"/>
      <c r="H61" s="10"/>
      <c r="I61" s="10"/>
      <c r="J61" s="55">
        <f>(J60+J43+J37)*100</f>
        <v>85.000000000000014</v>
      </c>
      <c r="K61" s="10"/>
      <c r="L61" s="10"/>
      <c r="M61" s="10"/>
      <c r="N61" s="55">
        <f>(N60+N43+N37)*100</f>
        <v>84.000000000000014</v>
      </c>
      <c r="O61" s="10"/>
      <c r="P61" s="10"/>
      <c r="Q61" s="10"/>
      <c r="R61" s="55">
        <f>(R60+R43+R37)*100</f>
        <v>76.5</v>
      </c>
      <c r="S61" s="10"/>
      <c r="T61" s="10"/>
      <c r="U61" s="10"/>
      <c r="V61" s="55">
        <f>(V60+V43+V37)*100</f>
        <v>73.5</v>
      </c>
      <c r="W61" s="10"/>
      <c r="X61" s="10"/>
      <c r="Y61" s="10"/>
      <c r="Z61" s="55">
        <f>(Z60+Z43+Z37)*100</f>
        <v>76</v>
      </c>
    </row>
    <row r="63" spans="2:26" x14ac:dyDescent="0.3">
      <c r="B63" s="32" t="s">
        <v>149</v>
      </c>
    </row>
    <row r="64" spans="2:26" x14ac:dyDescent="0.3">
      <c r="B64" s="94" t="s">
        <v>150</v>
      </c>
      <c r="C64" s="94"/>
      <c r="D64" s="94"/>
      <c r="E64" s="94"/>
    </row>
    <row r="65" spans="2:15" x14ac:dyDescent="0.3">
      <c r="B65" s="56" t="s">
        <v>135</v>
      </c>
      <c r="C65" s="2" t="s">
        <v>137</v>
      </c>
      <c r="D65" s="2" t="s">
        <v>138</v>
      </c>
      <c r="E65" s="56" t="s">
        <v>136</v>
      </c>
    </row>
    <row r="66" spans="2:15" ht="15.65" thickBot="1" x14ac:dyDescent="0.35">
      <c r="B66" s="70" t="s">
        <v>139</v>
      </c>
      <c r="C66" s="71">
        <f>('INPUT SHEET'!D21+'INPUT SHEET'!D22)/'INPUT SHEET'!D9</f>
        <v>2.9111111111111112E-2</v>
      </c>
      <c r="D66" s="71">
        <f>('INPUT SHEET'!E21+'INPUT SHEET'!E22)/'INPUT SHEET'!E9</f>
        <v>6.6666666666666666E-2</v>
      </c>
      <c r="E66" s="72">
        <f>(D66-C66)/C66</f>
        <v>1.2900763358778624</v>
      </c>
    </row>
    <row r="67" spans="2:15" x14ac:dyDescent="0.3">
      <c r="B67" s="76" t="s">
        <v>175</v>
      </c>
      <c r="C67" s="77">
        <f>'INPUT SHEET'!D23</f>
        <v>570</v>
      </c>
      <c r="D67" s="77">
        <f>'INPUT SHEET'!E23</f>
        <v>585</v>
      </c>
      <c r="E67" s="78">
        <f t="shared" ref="E67:E70" si="36">(D67-C67)/C67</f>
        <v>2.6315789473684209E-2</v>
      </c>
    </row>
    <row r="68" spans="2:15" x14ac:dyDescent="0.3">
      <c r="B68" s="79" t="s">
        <v>140</v>
      </c>
      <c r="C68" s="8">
        <f>'INPUT SHEET'!D24</f>
        <v>339.11</v>
      </c>
      <c r="D68" s="8">
        <f>'INPUT SHEET'!E24</f>
        <v>345</v>
      </c>
      <c r="E68" s="80">
        <f t="shared" si="36"/>
        <v>1.7368995311255894E-2</v>
      </c>
    </row>
    <row r="69" spans="2:15" x14ac:dyDescent="0.3">
      <c r="B69" s="79" t="s">
        <v>141</v>
      </c>
      <c r="C69" s="8">
        <f>'INPUT SHEET'!D33</f>
        <v>6300</v>
      </c>
      <c r="D69" s="8">
        <f>'INPUT SHEET'!E33</f>
        <v>5800</v>
      </c>
      <c r="E69" s="80">
        <f t="shared" si="36"/>
        <v>-7.9365079365079361E-2</v>
      </c>
    </row>
    <row r="70" spans="2:15" ht="15.65" thickBot="1" x14ac:dyDescent="0.35">
      <c r="B70" s="81" t="s">
        <v>142</v>
      </c>
      <c r="C70" s="82">
        <f>'INPUT SHEET'!D8</f>
        <v>300</v>
      </c>
      <c r="D70" s="82">
        <f>'INPUT SHEET'!E8</f>
        <v>299.95</v>
      </c>
      <c r="E70" s="83">
        <f t="shared" si="36"/>
        <v>-1.6666666666670455E-4</v>
      </c>
    </row>
    <row r="71" spans="2:15" x14ac:dyDescent="0.3">
      <c r="B71" s="73" t="s">
        <v>147</v>
      </c>
      <c r="C71" s="74">
        <f>'INPUT SHEET'!D12/'INPUT SHEET'!D8</f>
        <v>0.34633333333333333</v>
      </c>
      <c r="D71" s="75">
        <f>'INPUT SHEET'!E12/'INPUT SHEET'!E8</f>
        <v>0.38439739956659441</v>
      </c>
      <c r="E71" s="73"/>
    </row>
    <row r="72" spans="2:15" x14ac:dyDescent="0.3">
      <c r="B72" s="10" t="s">
        <v>148</v>
      </c>
      <c r="C72" s="48">
        <f>'INPUT SHEET'!D26*'INPUT SHEET'!D8/'INPUT SHEET'!D33</f>
        <v>103.89610389610391</v>
      </c>
      <c r="D72" s="48">
        <f>'INPUT SHEET'!E26*'INPUT SHEET'!E8/'INPUT SHEET'!E33</f>
        <v>122.66920689655173</v>
      </c>
      <c r="E72" s="10"/>
    </row>
    <row r="73" spans="2:15" x14ac:dyDescent="0.3">
      <c r="B73" s="10" t="s">
        <v>143</v>
      </c>
      <c r="C73" s="8">
        <f>ROUNDUP(C72/'INPUT SHEET'!$D$17,0)</f>
        <v>4</v>
      </c>
      <c r="D73" s="8">
        <f>ROUNDUP(D72/'INPUT SHEET'!$D$17,0)</f>
        <v>5</v>
      </c>
      <c r="E73" s="10"/>
    </row>
    <row r="74" spans="2:15" x14ac:dyDescent="0.3">
      <c r="B74" s="10" t="s">
        <v>144</v>
      </c>
      <c r="C74" s="10"/>
      <c r="D74" s="10"/>
      <c r="E74" s="10"/>
    </row>
    <row r="75" spans="2:15" x14ac:dyDescent="0.3">
      <c r="B75" s="10" t="s">
        <v>145</v>
      </c>
      <c r="C75" s="10"/>
      <c r="D75" s="10"/>
      <c r="E75" s="10"/>
    </row>
    <row r="76" spans="2:15" x14ac:dyDescent="0.3">
      <c r="B76" s="10" t="s">
        <v>146</v>
      </c>
      <c r="C76" s="10"/>
      <c r="D76" s="10"/>
      <c r="E76" s="10"/>
    </row>
    <row r="78" spans="2:15" ht="15.65" thickBot="1" x14ac:dyDescent="0.35"/>
    <row r="79" spans="2:15" ht="15.65" thickBot="1" x14ac:dyDescent="0.35">
      <c r="B79" s="95" t="s">
        <v>161</v>
      </c>
      <c r="C79" s="96"/>
      <c r="D79" s="96"/>
      <c r="E79" s="96"/>
      <c r="F79" s="96"/>
      <c r="G79" s="96"/>
      <c r="H79" s="96"/>
      <c r="I79" s="96"/>
      <c r="J79" s="96"/>
      <c r="K79" s="96"/>
      <c r="L79" s="96"/>
      <c r="M79" s="96"/>
      <c r="N79" s="97"/>
      <c r="O79" s="65"/>
    </row>
    <row r="80" spans="2:15" ht="15.65" thickBot="1" x14ac:dyDescent="0.35">
      <c r="B80" s="57" t="s">
        <v>151</v>
      </c>
      <c r="C80" s="58" t="s">
        <v>109</v>
      </c>
      <c r="D80" s="58" t="s">
        <v>108</v>
      </c>
      <c r="E80" s="58" t="s">
        <v>162</v>
      </c>
      <c r="F80" s="58" t="s">
        <v>152</v>
      </c>
      <c r="G80" s="58" t="s">
        <v>153</v>
      </c>
      <c r="H80" s="58" t="s">
        <v>154</v>
      </c>
      <c r="I80" s="58" t="s">
        <v>155</v>
      </c>
      <c r="J80" s="58" t="s">
        <v>156</v>
      </c>
      <c r="K80" s="58" t="s">
        <v>157</v>
      </c>
      <c r="L80" s="58" t="s">
        <v>158</v>
      </c>
      <c r="M80" s="85" t="s">
        <v>159</v>
      </c>
      <c r="N80" s="86" t="s">
        <v>160</v>
      </c>
    </row>
    <row r="81" spans="2:14" x14ac:dyDescent="0.3">
      <c r="B81" s="59" t="s">
        <v>115</v>
      </c>
      <c r="C81" s="50">
        <f>IF(D24="AVAILABLE",Z61,0)</f>
        <v>76</v>
      </c>
      <c r="D81" s="8" t="str" cm="1">
        <f t="array" ref="D81">_xlfn.IFS(C81&gt;70,"Available",C81&gt;=60,"Standby",C81&gt;=50,"Emergency",C81&lt;50,"Not Available")</f>
        <v>Available</v>
      </c>
      <c r="E81" s="8">
        <f>IF(OR(D81= "Emergency",D81 = "Not Available"),0, IF(OR(D81 = "Available", D81 = "Standby"),RANK(C81,$C$81:$C$86,0),""))</f>
        <v>4</v>
      </c>
      <c r="F81" s="8" cm="1">
        <f t="array" ref="F81">_xlfn.IFS($E$66&lt;=0%,5,$E$66&lt;=20%,0,$E$66&gt;20%,-20)</f>
        <v>-20</v>
      </c>
      <c r="G81" s="8">
        <f>IF(ABS($E$67)&lt;=2%,0,IF($E$67&gt;2%,-10))</f>
        <v>-10</v>
      </c>
      <c r="H81" s="8">
        <f>IF(ABS($E$68)&lt;=5%,0,IF($E$68&gt;5%,-5))</f>
        <v>0</v>
      </c>
      <c r="I81" s="8">
        <f>IF(ABS($E$69)&lt;=5%,0,IF($E$69&gt;5%,-5,5))</f>
        <v>5</v>
      </c>
      <c r="J81" s="8">
        <f>IF(F24=1,0,-5)</f>
        <v>0</v>
      </c>
      <c r="K81" s="8">
        <f>IF($E$70&lt;=-20%,0,0)</f>
        <v>0</v>
      </c>
      <c r="L81" s="84">
        <f>MIN((SUM(F81:K81)+C81),99)</f>
        <v>51</v>
      </c>
      <c r="M81" s="87">
        <f>IF(D81&lt;&gt;"Available",0,RANK(L81,$L$81:$L$86))</f>
        <v>6</v>
      </c>
      <c r="N81" s="88" t="str">
        <f>IF(D81&lt;&gt;"Available","STOP",IF(AND($D$73=5,M81&lt;6),"RUN",IF(AND($D$73=4,M81&lt;5),"RUN",IF(AND($D$73=3,M81&lt;4),"RUN",IF(AND($D$73=6,M81&lt;7),"RUN","STANDBY")))))</f>
        <v>STANDBY</v>
      </c>
    </row>
    <row r="82" spans="2:14" x14ac:dyDescent="0.3">
      <c r="B82" s="59" t="s">
        <v>114</v>
      </c>
      <c r="C82" s="50">
        <f>IF(D23="AVAILABLE",V61,0)</f>
        <v>73.5</v>
      </c>
      <c r="D82" s="8" t="str" cm="1">
        <f t="array" ref="D82">_xlfn.IFS(C82&gt;70,"Available",C82&gt;=60,"Standby",C82&gt;=50,"Emergency",C82&lt;50,"Not Available")</f>
        <v>Available</v>
      </c>
      <c r="E82" s="8">
        <f t="shared" ref="E82:E86" si="37">IF(OR(D82= "Emergency",D82 = "Not Available"),0, IF(OR(D82 = "Available", D82 = "Standby"),RANK(C82,$C$81:$C$86,0),""))</f>
        <v>5</v>
      </c>
      <c r="F82" s="8" cm="1">
        <f t="array" ref="F82">_xlfn.IFS($E$66&lt;=0%,10,$E$66&lt;=20%,0,$E$66&gt;20%,-10)</f>
        <v>-10</v>
      </c>
      <c r="G82" s="8">
        <f>IF(ABS($E$67)&lt;=2%,0,IF($E$67&gt;2%,-10))</f>
        <v>-10</v>
      </c>
      <c r="H82" s="8">
        <f t="shared" ref="H82:H86" si="38">IF(ABS($E$68)&lt;=5%,0,IF($E$68&gt;5%,-5))</f>
        <v>0</v>
      </c>
      <c r="I82" s="8">
        <f t="shared" ref="I82:I83" si="39">IF(ABS($E$69)&lt;=5%,0,IF($E$69&gt;5%,-5,5))</f>
        <v>5</v>
      </c>
      <c r="J82" s="8">
        <f>IF(F23&gt;0.4,0,-5)</f>
        <v>0</v>
      </c>
      <c r="K82" s="8">
        <f>IF($E$70&lt;=-20%,3,0)</f>
        <v>0</v>
      </c>
      <c r="L82" s="84">
        <f t="shared" ref="L82:L86" si="40">MIN((SUM(F82:K82)+C82),99)</f>
        <v>58.5</v>
      </c>
      <c r="M82" s="59">
        <f t="shared" ref="M82:M86" si="41">IF(D82&lt;&gt;"Available",0,RANK(L82,$L$81:$L$86))</f>
        <v>5</v>
      </c>
      <c r="N82" s="60" t="str">
        <f t="shared" ref="N82:N86" si="42">IF(D82&lt;&gt;"Available","STOP",IF(AND($D$73=5,M82&lt;6),"RUN",IF(AND($D$73=4,M82&lt;5),"RUN",IF(AND($D$73=3,M82&lt;4),"RUN",IF(AND($D$73=6,M82&lt;7),"RUN","STANDBY")))))</f>
        <v>RUN</v>
      </c>
    </row>
    <row r="83" spans="2:14" x14ac:dyDescent="0.3">
      <c r="B83" s="59" t="s">
        <v>113</v>
      </c>
      <c r="C83" s="50">
        <f>IF(D22="AVAILABLE",R61,0)</f>
        <v>76.5</v>
      </c>
      <c r="D83" s="8" t="str" cm="1">
        <f t="array" ref="D83">_xlfn.IFS(C83&gt;70,"Available",C83&gt;=60,"Standby",C83&gt;=50,"Emergency",C83&lt;50,"Not Available")</f>
        <v>Available</v>
      </c>
      <c r="E83" s="8">
        <f t="shared" si="37"/>
        <v>3</v>
      </c>
      <c r="F83" s="8" cm="1">
        <f t="array" ref="F83">_xlfn.IFS($E$66&lt;=0%,5,$E$66&lt;=20%,0,$E$66&gt;20%,-5)</f>
        <v>-5</v>
      </c>
      <c r="G83" s="8">
        <f>IF(ABS($E$67)&lt;=2%,0,IF($E$67&gt;2%,-5))</f>
        <v>-5</v>
      </c>
      <c r="H83" s="8">
        <f t="shared" si="38"/>
        <v>0</v>
      </c>
      <c r="I83" s="8">
        <f t="shared" si="39"/>
        <v>5</v>
      </c>
      <c r="J83" s="8">
        <f>IF(F22&gt;0.4,0,-5)</f>
        <v>0</v>
      </c>
      <c r="K83" s="8">
        <f>IF($E$70&lt;=-20%,3,0)</f>
        <v>0</v>
      </c>
      <c r="L83" s="84">
        <f t="shared" si="40"/>
        <v>71.5</v>
      </c>
      <c r="M83" s="59">
        <f t="shared" si="41"/>
        <v>4</v>
      </c>
      <c r="N83" s="60" t="str">
        <f t="shared" si="42"/>
        <v>RUN</v>
      </c>
    </row>
    <row r="84" spans="2:14" x14ac:dyDescent="0.3">
      <c r="B84" s="59" t="s">
        <v>112</v>
      </c>
      <c r="C84" s="50">
        <f>IF(D21="AVAILABLE",N61,0)</f>
        <v>84.000000000000014</v>
      </c>
      <c r="D84" s="8" t="str" cm="1">
        <f t="array" ref="D84">_xlfn.IFS(C84&gt;70,"Available",C84&gt;=60,"Standby",C84&gt;=50,"Emergency",C84&lt;50,"Not Available")</f>
        <v>Available</v>
      </c>
      <c r="E84" s="8">
        <f t="shared" si="37"/>
        <v>2</v>
      </c>
      <c r="F84" s="8">
        <f>IF($E$66&lt;=20%,0,IF($E$66&gt;20%,5))</f>
        <v>5</v>
      </c>
      <c r="G84" s="8">
        <f>IF(ABS($E$67)&lt;=2%,0,IF($E$67&gt;2%,5))</f>
        <v>5</v>
      </c>
      <c r="H84" s="8">
        <f t="shared" si="38"/>
        <v>0</v>
      </c>
      <c r="I84" s="8">
        <f>IF(ABS($E$69)&lt;=5%,0,IF($E$69&gt;5%,5,-5))</f>
        <v>-5</v>
      </c>
      <c r="J84" s="8">
        <f>IF(F21&gt;0.4,0,-5)</f>
        <v>0</v>
      </c>
      <c r="K84" s="8">
        <f>IF($E$70&lt;=-20%,3,0)</f>
        <v>0</v>
      </c>
      <c r="L84" s="84">
        <f t="shared" si="40"/>
        <v>89.000000000000014</v>
      </c>
      <c r="M84" s="59">
        <f t="shared" si="41"/>
        <v>2</v>
      </c>
      <c r="N84" s="60" t="str">
        <f t="shared" si="42"/>
        <v>RUN</v>
      </c>
    </row>
    <row r="85" spans="2:14" x14ac:dyDescent="0.3">
      <c r="B85" s="59" t="s">
        <v>111</v>
      </c>
      <c r="C85" s="50">
        <f>IF(D20="AVAILABLE",J61,0)</f>
        <v>85.000000000000014</v>
      </c>
      <c r="D85" s="8" t="str" cm="1">
        <f t="array" ref="D85">_xlfn.IFS(C85&gt;70,"Available",C85&gt;=60,"Standby",C85&gt;=50,"Emergency",C85&lt;50,"Not Available")</f>
        <v>Available</v>
      </c>
      <c r="E85" s="8">
        <f t="shared" si="37"/>
        <v>1</v>
      </c>
      <c r="F85" s="8">
        <f>IF($E$66&lt;=20%,0,IF($E$66&gt;20%,5))</f>
        <v>5</v>
      </c>
      <c r="G85" s="8">
        <f>IF(ABS($E$67)&lt;=2%,0,IF($E$67&gt;2%,5))</f>
        <v>5</v>
      </c>
      <c r="H85" s="8">
        <f t="shared" si="38"/>
        <v>0</v>
      </c>
      <c r="I85" s="8">
        <f t="shared" ref="I85:I86" si="43">IF(ABS($E$69)&lt;=5%,0,IF($E$69&gt;5%,5,-5))</f>
        <v>-5</v>
      </c>
      <c r="J85" s="8">
        <f>IF(F20&gt;0.4,0,-5)</f>
        <v>0</v>
      </c>
      <c r="K85" s="8">
        <f>IF($E$70&lt;=-20%,3,0)</f>
        <v>0</v>
      </c>
      <c r="L85" s="84">
        <f t="shared" si="40"/>
        <v>90.000000000000014</v>
      </c>
      <c r="M85" s="59">
        <f t="shared" si="41"/>
        <v>1</v>
      </c>
      <c r="N85" s="60" t="str">
        <f t="shared" si="42"/>
        <v>RUN</v>
      </c>
    </row>
    <row r="86" spans="2:14" ht="15.65" thickBot="1" x14ac:dyDescent="0.35">
      <c r="B86" s="61" t="s">
        <v>110</v>
      </c>
      <c r="C86" s="62">
        <f>IF(D19="AVAILABLE",F61,0)</f>
        <v>73.25</v>
      </c>
      <c r="D86" s="8" t="str" cm="1">
        <f t="array" ref="D86">_xlfn.IFS(C86&gt;70,"Available",C86&gt;=60,"Standby",C86&gt;=50,"Emergency",C86&lt;50,"Not Available")</f>
        <v>Available</v>
      </c>
      <c r="E86" s="8">
        <f t="shared" si="37"/>
        <v>6</v>
      </c>
      <c r="F86" s="8">
        <f>IF($E$66&lt;=20%,0,IF($E$66&gt;20%,5))</f>
        <v>5</v>
      </c>
      <c r="G86" s="8">
        <f>IF(ABS($E$67)&lt;=2%,0,IF($E$67&gt;2%,5))</f>
        <v>5</v>
      </c>
      <c r="H86" s="8">
        <f t="shared" si="38"/>
        <v>0</v>
      </c>
      <c r="I86" s="8">
        <f t="shared" si="43"/>
        <v>-5</v>
      </c>
      <c r="J86" s="8">
        <f>IF(F19&gt;0.4,0,-5)</f>
        <v>0</v>
      </c>
      <c r="K86" s="8">
        <f>IF($E$70&lt;=-20%,0,0)</f>
        <v>0</v>
      </c>
      <c r="L86" s="84">
        <f t="shared" si="40"/>
        <v>78.25</v>
      </c>
      <c r="M86" s="61">
        <f t="shared" si="41"/>
        <v>3</v>
      </c>
      <c r="N86" s="89" t="str">
        <f t="shared" si="42"/>
        <v>RUN</v>
      </c>
    </row>
    <row r="90" spans="2:14" x14ac:dyDescent="0.3">
      <c r="E90" s="63"/>
    </row>
  </sheetData>
  <mergeCells count="10">
    <mergeCell ref="S27:V27"/>
    <mergeCell ref="W27:Z27"/>
    <mergeCell ref="B27:B28"/>
    <mergeCell ref="B64:E64"/>
    <mergeCell ref="B79:N79"/>
    <mergeCell ref="C14:D14"/>
    <mergeCell ref="C27:F27"/>
    <mergeCell ref="G27:J27"/>
    <mergeCell ref="K27:N27"/>
    <mergeCell ref="O27:R27"/>
  </mergeCells>
  <conditionalFormatting sqref="E19:E24">
    <cfRule type="cellIs" dxfId="1" priority="1" operator="equal">
      <formula>"RUNNING"</formula>
    </cfRule>
    <cfRule type="cellIs" dxfId="0" priority="2" operator="equal">
      <formula>"STOP"</formula>
    </cfRule>
  </conditionalFormatting>
  <pageMargins left="0.7" right="0.7" top="0.75" bottom="0.75" header="0.3" footer="0.3"/>
  <ignoredErrors>
    <ignoredError sqref="F22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Work Flow</vt:lpstr>
      <vt:lpstr>INPUT SHEET</vt:lpstr>
      <vt:lpstr>AHI Decision Tree</vt:lpstr>
      <vt:lpstr>Mill Merit 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Sugandh Kumar</dc:creator>
  <cp:lastModifiedBy>Bhaskar Kewalramani</cp:lastModifiedBy>
  <dcterms:created xsi:type="dcterms:W3CDTF">2015-06-05T18:17:20Z</dcterms:created>
  <dcterms:modified xsi:type="dcterms:W3CDTF">2026-10-01T09:25:53Z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351ac48-f2ec-47d6-b214-43b916e392ff_Enabled">
    <vt:lpwstr>true</vt:lpwstr>
  </property>
  <property fmtid="{D5CDD505-2E9C-101B-9397-08002B2CF9AE}" pid="3" name="MSIP_Label_3351ac48-f2ec-47d6-b214-43b916e392ff_SetDate">
    <vt:lpwstr>2026-05-05T13:34:02Z</vt:lpwstr>
  </property>
  <property fmtid="{D5CDD505-2E9C-101B-9397-08002B2CF9AE}" pid="4" name="MSIP_Label_3351ac48-f2ec-47d6-b214-43b916e392ff_Method">
    <vt:lpwstr>Standard</vt:lpwstr>
  </property>
  <property fmtid="{D5CDD505-2E9C-101B-9397-08002B2CF9AE}" pid="5" name="MSIP_Label_3351ac48-f2ec-47d6-b214-43b916e392ff_Name">
    <vt:lpwstr>3351ac48-f2ec-47d6-b214-43b916e392ff</vt:lpwstr>
  </property>
  <property fmtid="{D5CDD505-2E9C-101B-9397-08002B2CF9AE}" pid="6" name="MSIP_Label_3351ac48-f2ec-47d6-b214-43b916e392ff_SiteId">
    <vt:lpwstr>5af76741-f886-4d20-ad04-775dee0ce762</vt:lpwstr>
  </property>
  <property fmtid="{D5CDD505-2E9C-101B-9397-08002B2CF9AE}" pid="7" name="MSIP_Label_3351ac48-f2ec-47d6-b214-43b916e392ff_ActionId">
    <vt:lpwstr>681f154f-5b05-43fd-bbd1-4507f296db00</vt:lpwstr>
  </property>
  <property fmtid="{D5CDD505-2E9C-101B-9397-08002B2CF9AE}" pid="8" name="MSIP_Label_3351ac48-f2ec-47d6-b214-43b916e392ff_ContentBits">
    <vt:lpwstr>0</vt:lpwstr>
  </property>
  <property fmtid="{D5CDD505-2E9C-101B-9397-08002B2CF9AE}" pid="9" name="MSIP_Label_3351ac48-f2ec-47d6-b214-43b916e392ff_Tag">
    <vt:lpwstr>10, 3, 0, 1</vt:lpwstr>
  </property>
</Properties>
</file>